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" sheetId="1" r:id="rId4"/>
    <sheet state="visible" name="COCO PAA PRINCESS CRÈME 460G" sheetId="2" r:id="rId5"/>
    <sheet state="visible" name="COCO PAA PRINCESS CRÈME 260G" sheetId="3" r:id="rId6"/>
    <sheet state="visible" name="COCO PAA PRINCESS CRÈME 150G" sheetId="4" r:id="rId7"/>
    <sheet state="visible" name="BO-16 HAIR FOOD BLEU 225ML" sheetId="5" r:id="rId8"/>
    <sheet state="visible" name="BO-16 HAIR FOOD JAUNE 225ML" sheetId="6" r:id="rId9"/>
    <sheet state="visible" name="PARFUME INTENSE 100ML" sheetId="7" r:id="rId10"/>
    <sheet state="visible" name="PARFUME LEGEND 100ML" sheetId="8" r:id="rId11"/>
    <sheet state="visible" name="PARFUME BLOSSOM 100ML" sheetId="9" r:id="rId12"/>
    <sheet state="visible" name="PARFUME OUD 100ML" sheetId="10" r:id="rId13"/>
    <sheet state="visible" name="PRINCESS CREAM C.B M S 260ML " sheetId="11" r:id="rId14"/>
    <sheet state="visible" name="PRINCESS CREAM C.B S S 150ML " sheetId="12" r:id="rId15"/>
    <sheet state="visible" name=" CARRO PAA PRINCESS B S 460ML " sheetId="13" r:id="rId16"/>
    <sheet state="visible" name=" CARRO PAA PRINCESS M S 260ML " sheetId="14" r:id="rId17"/>
    <sheet state="visible" name="CARRO PAA PRINCESS S S 150ML " sheetId="15" r:id="rId18"/>
    <sheet state="visible" name="CARRO PAA LOTION B S 400ML " sheetId="16" r:id="rId19"/>
    <sheet state="visible" name="CARRO PAA LOTION S S 260ML " sheetId="17" r:id="rId20"/>
    <sheet state="visible" name="KLEANZ HAND SANITIZER 100 ML " sheetId="18" r:id="rId21"/>
    <sheet state="visible" name="KLEANZ HAND SANITIZER 50 ML" sheetId="19" r:id="rId22"/>
    <sheet state="visible" name="HABIBA PDE B S 250 ML" sheetId="20" r:id="rId23"/>
    <sheet state="visible" name="HABIBA PDE S S 150 ML" sheetId="21" r:id="rId24"/>
    <sheet state="visible" name="HABIBA SHEA BUTTER PDE B S 250" sheetId="22" r:id="rId25"/>
    <sheet state="visible" name="STYLE UP 3 IN 1 SHOWER GEL ICE " sheetId="23" r:id="rId26"/>
    <sheet state="visible" name="STYLE UP 3 IN1 SHOWER GEL FRESH" sheetId="24" r:id="rId27"/>
    <sheet state="visible" name="STYLE UP 3 IN1 SHOWER GEL SPORT" sheetId="25" r:id="rId28"/>
    <sheet state="visible" name="STYLE UP SHOWER GEL FOCUS 1050" sheetId="26" r:id="rId29"/>
    <sheet state="visible" name="STYLE UP SHOWER GEL SPORT 1050" sheetId="27" r:id="rId30"/>
    <sheet state="visible" name="STYLEUP SHOWER GEL STAMINA 1050" sheetId="28" r:id="rId31"/>
    <sheet state="visible" name="STYLE UP SHOWER GEL POWER 1050" sheetId="29" r:id="rId32"/>
    <sheet state="visible" name="STYLE UP SHOWER GEL RELAX 1050" sheetId="30" r:id="rId33"/>
    <sheet state="visible" name="BO-16 HERBAL CARE 280GR " sheetId="31" r:id="rId34"/>
    <sheet state="visible" name="BO-16 HAIR FOOD VITAMINS 225ML" sheetId="32" r:id="rId35"/>
    <sheet state="visible" name="BO-16 HAIR FOOD 225ML " sheetId="33" r:id="rId36"/>
    <sheet state="visible" name="KLEANZ BODY WASH ALOE VERA 750" sheetId="34" r:id="rId37"/>
    <sheet state="visible" name="KLEANZ BODY WASH STRAWBER 750ML" sheetId="35" r:id="rId38"/>
    <sheet state="visible" name="KLEANZ BODYWASH ANTIBACTIRAL750" sheetId="36" r:id="rId39"/>
    <sheet state="visible" name="KLEANZ BODY WASH VANILLA 750" sheetId="37" r:id="rId40"/>
    <sheet state="visible" name="KLEANZ BODY COCONUT OIL 750ML" sheetId="38" r:id="rId41"/>
    <sheet state="visible" name="CLASSIC HAIR PDE S-S 125 ML " sheetId="39" r:id="rId42"/>
    <sheet state="visible" name="CLASSIC HAIR PDE B-S 300 ML " sheetId="40" r:id="rId43"/>
    <sheet state="visible" name="LAIT NATURE CLAIRE 250ML" sheetId="41" r:id="rId44"/>
    <sheet state="visible" name="LAIT NATURE CLAIRE 500ML" sheetId="42" r:id="rId45"/>
    <sheet state="visible" name="GEL D.SKINS BABY CARE" sheetId="43" r:id="rId46"/>
    <sheet state="visible" name="LAIT SKIN BABYCARE 750 ML " sheetId="44" r:id="rId47"/>
    <sheet state="visible" name="LAIT SKINS GOLD 210 ML" sheetId="45" r:id="rId48"/>
    <sheet state="visible" name="EAU DE BEBE SKINS 535 ML" sheetId="46" r:id="rId49"/>
    <sheet state="visible" name="CREME CH. SKINS BABY 150GRS" sheetId="47" r:id="rId50"/>
    <sheet state="visible" name="CREME NAT.CLAIRE 150 GRS" sheetId="48" r:id="rId51"/>
    <sheet state="visible" name="CREME NAT.CLAIRE 300ML" sheetId="49" r:id="rId52"/>
    <sheet state="visible" name="LIQ.VAISS.CLEANOL 750ML MIX" sheetId="50" r:id="rId53"/>
    <sheet state="visible" name="LOT SKINS BABY CARE" sheetId="51" r:id="rId54"/>
    <sheet state="visible" name="LAIT SKINS 225ML" sheetId="52" r:id="rId55"/>
    <sheet state="visible" name="LAIT SKINS 400ML" sheetId="53" r:id="rId56"/>
    <sheet state="visible" name="SAV.NAT.CLAIRE 400GRS CARROT" sheetId="54" r:id="rId57"/>
    <sheet state="visible" name="SAV.NAT.CLAIRE 400GRS CITRON " sheetId="55" r:id="rId58"/>
    <sheet state="visible" name="SAV.NAT.CLAIRE 400GRS " sheetId="56" r:id="rId59"/>
    <sheet state="visible" name="SAV.NAT.CLAIRE 400GR COCOA" sheetId="57" r:id="rId60"/>
    <sheet state="visible" name="SAV.NAT.CLAIRE 400GRS ARGAN" sheetId="58" r:id="rId61"/>
    <sheet state="visible" name="SAV.NAT.CLAIRE 400GRS MIEL" sheetId="59" r:id="rId62"/>
    <sheet state="visible" name="SAV.NAT.CLAIRE 400GRS PAPAYE" sheetId="60" r:id="rId63"/>
    <sheet state="visible" name="SAV.NAT.CLAIRE 400GRS AVOCAT " sheetId="61" r:id="rId64"/>
    <sheet state="visible" name="SAV.NAT.CLAIRE 400GRS LAIT " sheetId="62" r:id="rId65"/>
    <sheet state="visible" name="SAV.NAT.CLAIRE 400GRS OLIVE" sheetId="63" r:id="rId66"/>
    <sheet state="visible" name="NATURAL PAPAYA &amp; CARROT SOAP " sheetId="64" r:id="rId67"/>
    <sheet state="visible" name="KOJIC WHITE 4 IN 1 SOAP 160GM" sheetId="65" r:id="rId68"/>
    <sheet state="visible" name="PAPAYA HONEY LEMON SOAP 160GM" sheetId="66" r:id="rId69"/>
    <sheet state="visible" name="GLUTA CLEAR &amp; GLUTA SOAP 160GM" sheetId="67" r:id="rId70"/>
    <sheet state="visible" name="CALLAGEN &amp; GLUTA SOAP 160GM" sheetId="68" r:id="rId71"/>
    <sheet state="visible" name="Gluta Tomato Carrot Soap 135gm" sheetId="69" r:id="rId72"/>
    <sheet state="visible" name="KOJIC C EXTRACT GLUTA SOAP135GM" sheetId="70" r:id="rId73"/>
    <sheet state="visible" name="AX1 Kojic Papaya  Soap 135gm " sheetId="71" r:id="rId74"/>
    <sheet state="visible" name="KOJIC GALLAGEN GLUTA SOAP 135GM" sheetId="72" r:id="rId75"/>
    <sheet state="visible" name="KOJIC GLUTA PLUS SOAP 135GM" sheetId="73" r:id="rId76"/>
    <sheet state="visible" name="4 IN 1 GLUA COLLAGEN SOAP 160GM" sheetId="74" r:id="rId77"/>
    <sheet state="visible" name="NANO KOJIC WHITE X2 SOAP 160GM" sheetId="75" r:id="rId78"/>
    <sheet state="visible" name=" Aloevera Collagen Soap 160gm" sheetId="76" r:id="rId79"/>
    <sheet state="visible" name="Kojic Rice Milk Soap 160gm" sheetId="77" r:id="rId80"/>
    <sheet state="visible" name="Kojic Gluta C&amp;E Soap 160gm" sheetId="78" r:id="rId81"/>
    <sheet state="visible" name="Kojic Tomato Gluta Soap 160gm" sheetId="79" r:id="rId82"/>
    <sheet state="visible" name="Kojic Super White Soap 160gm" sheetId="80" r:id="rId83"/>
    <sheet state="visible" name="WHITE X2 PAPAYA &amp; CARROT SOAP " sheetId="81" r:id="rId84"/>
    <sheet state="visible" name="MISS U CARROT TOMATO 5 IN 1 " sheetId="82" r:id="rId85"/>
    <sheet state="visible" name="ALOE PAA LOTION B S 400ML" sheetId="83" r:id="rId86"/>
    <sheet state="visible" name="ALOE PAA PRINCESS B S 460ML" sheetId="84" r:id="rId87"/>
    <sheet state="visible" name="ALOE PAA PRINCESS M S 260ML" sheetId="85" r:id="rId88"/>
    <sheet state="visible" name="ALOE PAA PRINCESS S S 150ML" sheetId="86" r:id="rId89"/>
    <sheet state="visible" name="BABY GIRL LOTION 270ML" sheetId="87" r:id="rId90"/>
    <sheet state="visible" name="BABY BOY LOTION 270ML" sheetId="88" r:id="rId91"/>
    <sheet state="visible" name="BABY BOY OIL M S 100ML" sheetId="89" r:id="rId92"/>
    <sheet state="visible" name="BABY GIRL OIL M S 100ML" sheetId="90" r:id="rId93"/>
    <sheet state="visible" name="BABY GIRL CREAM S S 165ML" sheetId="91" r:id="rId94"/>
    <sheet state="visible" name="BABY BOY CREAM S S 165ML" sheetId="92" r:id="rId95"/>
    <sheet state="visible" name="BABY GIRL POMADE S S 165ML" sheetId="93" r:id="rId96"/>
    <sheet state="visible" name="BABY BOY POMADE S S 165ML" sheetId="94" r:id="rId97"/>
    <sheet state="visible" name="BABY GIRL PWD S S 50GM" sheetId="95" r:id="rId98"/>
    <sheet state="visible" name="BABY GIRL PWD M S 180GM" sheetId="96" r:id="rId99"/>
    <sheet state="visible" name="BABY BOY PWD S S 50GM" sheetId="97" r:id="rId100"/>
    <sheet state="visible" name="BABY BOY PWD M S 180GM" sheetId="98" r:id="rId101"/>
    <sheet state="visible" name="SISTER PDE S S 100ML" sheetId="99" r:id="rId102"/>
    <sheet state="visible" name="SISTER PDE M S 175ML" sheetId="100" r:id="rId103"/>
    <sheet state="visible" name="SISTER COCOA-BUTTER POMADE 100" sheetId="101" r:id="rId104"/>
    <sheet state="visible" name="SISTER COCOA-BUTTER POMADE 175" sheetId="102" r:id="rId105"/>
    <sheet state="visible" name="AVOCADO PDE B S 280ML" sheetId="103" r:id="rId106"/>
    <sheet state="visible" name="CARROBEL CREAM 150ML" sheetId="104" r:id="rId107"/>
    <sheet state="visible" name="CARROBEL CREAM 280 ML" sheetId="105" r:id="rId108"/>
    <sheet state="visible" name="CARROBEL POMADE 150ML" sheetId="106" r:id="rId109"/>
    <sheet state="visible" name="CARROBEL POMADE B S 280ML" sheetId="107" r:id="rId110"/>
    <sheet state="visible" name="JAM RICE MILK SOAP " sheetId="108" r:id="rId111"/>
    <sheet state="visible" name="JAM PAPAYA SOAP " sheetId="109" r:id="rId112"/>
    <sheet state="visible" name="JAM CARROT SOAP " sheetId="110" r:id="rId113"/>
    <sheet state="visible" name="SOAP BAR WITH GLUTA" sheetId="111" r:id="rId114"/>
    <sheet state="visible" name="AHA SERUM 30 ML" sheetId="112" r:id="rId115"/>
    <sheet state="visible" name="ASANTE PAPAYE AND HONEY MILK" sheetId="113" r:id="rId116"/>
    <sheet state="visible" name="ASANTE PAPAYA RICE MILK HONEY" sheetId="114" r:id="rId117"/>
    <sheet state="visible" name="ASANTE CARROT WITH HONEY " sheetId="115" r:id="rId118"/>
    <sheet state="visible" name="ASANTE TAMARIND GINGER HONEY" sheetId="116" r:id="rId119"/>
    <sheet state="visible" name="ASANTE TAMARIND TURMERIC HONEY" sheetId="117" r:id="rId120"/>
    <sheet state="visible" name="ASANTE RICE MILK WITH HONEY" sheetId="118" r:id="rId121"/>
    <sheet state="visible" name="ASANTE TAMARIND AND HONEY " sheetId="119" r:id="rId122"/>
    <sheet state="visible" name="ASANTE RICE MILK AND COLLAGEN" sheetId="120" r:id="rId123"/>
    <sheet state="visible" name="HEAD TO TOE WASH BLUE 500ML" sheetId="121" r:id="rId124"/>
    <sheet state="visible" name="HEAD TO TOE WASH PINK 500ML" sheetId="122" r:id="rId125"/>
    <sheet state="visible" name="HEAD TO TOE WASH PURPLE 500ML" sheetId="123" r:id="rId126"/>
    <sheet state="visible" name="HEAD TO TOE WASH YELLOW 500ML" sheetId="124" r:id="rId127"/>
    <sheet state="visible" name="CARE BODY LOTION B S 420ML" sheetId="125" r:id="rId128"/>
    <sheet state="visible" name="COLLAGEN ORANGE SOAP " sheetId="126" r:id="rId129"/>
    <sheet state="visible" name=" PAPAYA ARUBTIN SKIN SPA 700GM" sheetId="127" r:id="rId130"/>
    <sheet state="visible" name="PAPAYA TOMATO SKIN SPA 700GM" sheetId="128" r:id="rId131"/>
    <sheet state="visible" name="HONEY TURMERIC SKIN SPA 700GM" sheetId="129" r:id="rId132"/>
    <sheet state="visible" name="SUPEA AHA SKIN SPA 700GM" sheetId="130" r:id="rId133"/>
    <sheet state="visible" name="SMOOTH &amp; CLEAN 700GM" sheetId="131" r:id="rId134"/>
    <sheet state="visible" name="BODY SCRUB TOMATO GOAT MILK " sheetId="132" r:id="rId135"/>
    <sheet state="visible" name="BODY SCRUB TURMERIC HONEY " sheetId="133" r:id="rId136"/>
    <sheet state="visible" name="BODY SCRUB RICE MILK " sheetId="134" r:id="rId137"/>
    <sheet state="visible" name="BODY SCRUB TAMARIND &amp; HONEY " sheetId="135" r:id="rId138"/>
    <sheet state="visible" name="PAPAYA ARUBTIN LOTION 600ML" sheetId="136" r:id="rId139"/>
    <sheet state="visible" name="ARUBTIN VIT-C-LOTION 600ML" sheetId="137" r:id="rId140"/>
    <sheet state="visible" name="SUPER AHA LEMON LOTION 600ML" sheetId="138" r:id="rId141"/>
    <sheet state="visible" name="HONEY RICE MILK LOTION 600ML" sheetId="139" r:id="rId142"/>
    <sheet state="visible" name="MIMI WHITE VIT C SERUM 30ML" sheetId="140" r:id="rId143"/>
    <sheet state="visible" name="PAPAYA &amp; CARROT CREAM 15GM" sheetId="141" r:id="rId144"/>
    <sheet state="visible" name="RED CREAM " sheetId="142" r:id="rId145"/>
    <sheet state="visible" name="P - CARE CREAM " sheetId="143" r:id="rId146"/>
    <sheet state="visible" name="PAULA VIT - C SOAP " sheetId="144" r:id="rId147"/>
    <sheet state="visible" name="POP PEARL CREAM" sheetId="145" r:id="rId148"/>
    <sheet state="visible" name="POP PAPAYA CREAM" sheetId="146" r:id="rId149"/>
    <sheet state="visible" name="POP FACIAL CREAM WITH CURCUMA" sheetId="147" r:id="rId150"/>
    <sheet state="visible" name="POP FACIAL CREAM " sheetId="148" r:id="rId151"/>
    <sheet state="visible" name="STYLE UP PARFUM SPORT 50ML" sheetId="149" r:id="rId152"/>
  </sheets>
  <definedNames/>
  <calcPr/>
  <extLst>
    <ext uri="GoogleSheetsCustomDataVersion2">
      <go:sheetsCustomData xmlns:go="http://customooxmlschemas.google.com/" r:id="rId153" roundtripDataChecksum="KGiyzNeo2GQVw6f0XemK0P4sKWqI0aSiy8AmeyMkieY="/>
    </ext>
  </extLst>
</workbook>
</file>

<file path=xl/sharedStrings.xml><?xml version="1.0" encoding="utf-8"?>
<sst xmlns="http://schemas.openxmlformats.org/spreadsheetml/2006/main" count="1902" uniqueCount="432">
  <si>
    <t>NO</t>
  </si>
  <si>
    <t>COCO PAA PRINCESS CRÈME 460G</t>
  </si>
  <si>
    <t>COCO PAA PRINCESS CRÈME 260G</t>
  </si>
  <si>
    <t>COCO PAA PRINCESS CRÈME 150G</t>
  </si>
  <si>
    <t>DÈSIGNATION</t>
  </si>
  <si>
    <t xml:space="preserve">RESTE QTY / PCS </t>
  </si>
  <si>
    <t>RESTE QTY / CTN</t>
  </si>
  <si>
    <t>BALANCE / CNT</t>
  </si>
  <si>
    <t>DATE</t>
  </si>
  <si>
    <t>DÉSIGNATION</t>
  </si>
  <si>
    <t>RENTRÉ / PCS</t>
  </si>
  <si>
    <t>SORIE / PCS</t>
  </si>
  <si>
    <t>RESTE / PCS</t>
  </si>
  <si>
    <t> COCO PAA PRINCESS CRÈME 460G</t>
  </si>
  <si>
    <t>RENTRÉ</t>
  </si>
  <si>
    <t>SOTIE</t>
  </si>
  <si>
    <t>BALANCE</t>
  </si>
  <si>
    <t>LALIT</t>
  </si>
  <si>
    <t>COCO PAA PRINCESS CRÈME 260G  </t>
  </si>
  <si>
    <t>ALHASSANE KINDIA</t>
  </si>
  <si>
    <t>LALIT MAHENDER POUR KANKAN</t>
  </si>
  <si>
    <t>COCO PAA PRINCESS CRÈME 150G </t>
  </si>
  <si>
    <t>AMADOU OURY</t>
  </si>
  <si>
    <t> BO-16 HAIR FOOD BLEU 225ML  </t>
  </si>
  <si>
    <t>EL.OUSMSNE TANOU</t>
  </si>
  <si>
    <t>   BO-16 HAIR FOOD JAUNE 225ML </t>
  </si>
  <si>
    <t>SALIOU</t>
  </si>
  <si>
    <t>EL.ALSENY</t>
  </si>
  <si>
    <t>ISMAİËL</t>
  </si>
  <si>
    <t>PARFUME INTENSE 100ML  </t>
  </si>
  <si>
    <t>BOUBACAR BORDEAU</t>
  </si>
  <si>
    <t>PARFUME LEGEND 100ML </t>
  </si>
  <si>
    <t xml:space="preserve">LALIT </t>
  </si>
  <si>
    <t>KARIM</t>
  </si>
  <si>
    <t>SIDDI BAH</t>
  </si>
  <si>
    <t>'PARFUME BLOSSOM 100ML '!A1</t>
  </si>
  <si>
    <t>PARFUME OUD 100ML </t>
  </si>
  <si>
    <t>PRINCESS CREAM C.B M/S 260ML </t>
  </si>
  <si>
    <t>MOUNTAGA</t>
  </si>
  <si>
    <t>PRINCESS CREAM C.B S/S 150ML </t>
  </si>
  <si>
    <t>AMADOU BIRO</t>
  </si>
  <si>
    <t> CARRO PAA PRINCESS B/S 460ML </t>
  </si>
  <si>
    <t> CARRO PAA PRINCESS M/S 260ML </t>
  </si>
  <si>
    <t>CARRO PAA PRINCESS S/S 150ML </t>
  </si>
  <si>
    <t>'CARRO PAA LOTION B S 400ML '!A1</t>
  </si>
  <si>
    <t>CARRO PAA LOTION S/S 260ML </t>
  </si>
  <si>
    <t>KLEANZ HAND SANITIZER 100 ML </t>
  </si>
  <si>
    <t>KLEANZ HAND SANITIZER 50 ML</t>
  </si>
  <si>
    <t>'HABIBA PDE B S 250 ML'!A1</t>
  </si>
  <si>
    <t>'HABIBA PDE S S 150 ML'!A1</t>
  </si>
  <si>
    <t>'HABIBA SHEA BUTTER PDE B S 250'!A1</t>
  </si>
  <si>
    <t>'STYLE UP 3 IN 1 SHOWER GEL ICE '!A1</t>
  </si>
  <si>
    <t>'STYLE UP 3 IN1 SHOWER GEL FRESH'!A1</t>
  </si>
  <si>
    <t>'STYLE UP 3 IN1 SHOWER GEL SPORT'!A1</t>
  </si>
  <si>
    <t>'STYLE UP SHOWER GEL FOCUS 1050'!A1</t>
  </si>
  <si>
    <t>'STYLE UP SHOWER GEL SPORT 1050'!A1</t>
  </si>
  <si>
    <t>'STYLEUP SHOWER GEL STAMINA 1050'!A1</t>
  </si>
  <si>
    <t>'STYLE UP SHOWER GEL POWER 1050'!A1</t>
  </si>
  <si>
    <t>'STYLE UP SHOWER GEL RELAX 1050</t>
  </si>
  <si>
    <t>'BO-16 HERBAL CARE 280GR '!A1</t>
  </si>
  <si>
    <t>'BO-16 HAIR FOOD VITAMINS 225ML'!A1</t>
  </si>
  <si>
    <t>'BO-16 HAIR FOOD 225ML '!A1</t>
  </si>
  <si>
    <t>'KLEANZ BODY WASH ALOE VERA 750'!A1</t>
  </si>
  <si>
    <t>'KLEANZ BODY WASH STRAWBER 750ML'!A1</t>
  </si>
  <si>
    <t>'KLEANZ BODYWASH ANTIBACTIRAL750'!A1</t>
  </si>
  <si>
    <t>'KLEANZ BODY WASH VANILLA 750'!A1</t>
  </si>
  <si>
    <t>'KLEANZ BODY COCONUT OIL 750ML'!A1</t>
  </si>
  <si>
    <t>'CLASSIC HAIR PDE S-S 125 ML '!A1</t>
  </si>
  <si>
    <t>'CLASSIC HAIR PDE B-S 300 ML '!A1</t>
  </si>
  <si>
    <t>'LAIT NATURE CLAIRE 250ML'!A1</t>
  </si>
  <si>
    <t>'LAIT NATURE CLAIRE 500ML'!A1</t>
  </si>
  <si>
    <t>'GEL D.SKINS BABY CARE'!A1</t>
  </si>
  <si>
    <t>'LAIT SKIN BABYCARE 750 ML '!A1</t>
  </si>
  <si>
    <t>'LAIT SKINS GOLD 210 ML'!A1</t>
  </si>
  <si>
    <t>'EAU DE BEBE SKINS 535 ML'!A1</t>
  </si>
  <si>
    <t>'CREME CH. SKINS BABY 150GRS'!A1</t>
  </si>
  <si>
    <t>'CREME NAT.CLAIRE 150 GRS'!A1</t>
  </si>
  <si>
    <t>'CREME NAT.CLAIRE 300ML'!A1</t>
  </si>
  <si>
    <t>'LIQ.VAISS.CLEANOL 750ML MIX'!A1</t>
  </si>
  <si>
    <t>'LOT SKINS BABY CARE'!A1</t>
  </si>
  <si>
    <t>'LAIT SKINS 225ML'!A1</t>
  </si>
  <si>
    <t>'LAIT SKINS 400ML'!A1</t>
  </si>
  <si>
    <t>'SAV.NAT.CLAIRE 400GRS CARROT'!A1</t>
  </si>
  <si>
    <t>'SAV.NAT.CLAIRE 400GR CITRON</t>
  </si>
  <si>
    <t>'SAV.NAT.CLAIRE 400GRS '!A1</t>
  </si>
  <si>
    <t>'SAV.NAT.CLAIRE 400GR COCOA'!A1</t>
  </si>
  <si>
    <t>'SAV.NAT.CLAIRE 400GRS ARGAN'!A1</t>
  </si>
  <si>
    <t>'SAV.NAT.CLAIRE 400GRS MIEL'!A1</t>
  </si>
  <si>
    <t>'SAV.NAT.CLAIRE 400GRS PAPAYE'!A1</t>
  </si>
  <si>
    <t>'SAV.NAT.CLAIRE 400GRS AVOCAT '!A1</t>
  </si>
  <si>
    <t>'SAV.NAT.CLAIRE 400GRS LAIT '!A1</t>
  </si>
  <si>
    <t>'SAV.NAT.CLAIRE 400GRS OLIVE'!A1</t>
  </si>
  <si>
    <t>'SAV.NAT.CLAIRE 400GRS CARROT</t>
  </si>
  <si>
    <t>'NATURAL PAPAYA &amp; CARROT SOAP '!A1</t>
  </si>
  <si>
    <t>'KOJIC WHITE 4 IN 1 SOAP 160GM'!A1</t>
  </si>
  <si>
    <t>'PAPAYA HONEY LEMON SOAP 160GM'!A1</t>
  </si>
  <si>
    <t>'GLUTA CLEAR &amp; GLUTA SOAP 160GM'!A1</t>
  </si>
  <si>
    <t>'CALLAGEN &amp; GLUTA SOAP 160GM'!A1</t>
  </si>
  <si>
    <t>'Gluta Tomato Carrot Soap 135gm'!A1</t>
  </si>
  <si>
    <t>'KOJIC C EXTRACT GLUTA SOAP135GM'!A1</t>
  </si>
  <si>
    <t>'AX1 Kojic Papaya  Soap 135gm '!A1</t>
  </si>
  <si>
    <t>'KOJIC GALLAGEN GLUTA SOAP 135GM'!A1</t>
  </si>
  <si>
    <t>'KOJIC GLUTA PLUS SOAP 135GM'!A1</t>
  </si>
  <si>
    <t>'4 IN 1 GLUA COLLAGEN SOAP 160GM'!A1</t>
  </si>
  <si>
    <t>'NANO KOJIC WHITE X2 SOAP 160GM'!A1</t>
  </si>
  <si>
    <t>' Aloevera Collagen Soap 160gm'!A1</t>
  </si>
  <si>
    <t>'Kojic Rice Milk Soap 160gm'!A1</t>
  </si>
  <si>
    <t>'Kojic Gluta C&amp;E Soap 160gm'!A1</t>
  </si>
  <si>
    <t>'Kojic Tomato Gluta Soap 160gm'!A1</t>
  </si>
  <si>
    <t>'Kojic Super White Soap 160gm'!A1</t>
  </si>
  <si>
    <t xml:space="preserve">'WHITE X2 PAPAYA &amp; CARROT SOAP </t>
  </si>
  <si>
    <t xml:space="preserve">'MISS U CARROT TOMATO 5 IN 1 </t>
  </si>
  <si>
    <t>'ALOE PAA LOTION B S 400ML'!A1</t>
  </si>
  <si>
    <t>'ALOE PAA PRINCESS B S 460ML'!A1</t>
  </si>
  <si>
    <t>'ALOE PAA PRINCESS M S 260ML'!A1</t>
  </si>
  <si>
    <t>'ALOE PAA PRINCESS S S 150ML'!A1</t>
  </si>
  <si>
    <t>'BABY GIRL LOTION 270ML'!A1</t>
  </si>
  <si>
    <t>'BABY BOY LOTION 270ML'!A1</t>
  </si>
  <si>
    <t>'BABY BOY OIL M S 100ML'!A1</t>
  </si>
  <si>
    <t>'BABY GIRL OIL M S 100ML'!A1</t>
  </si>
  <si>
    <t>'BABY GIRL CREAM S S 165ML'!A1</t>
  </si>
  <si>
    <t>'BABY BOY CREAM S S 165ML'!A1</t>
  </si>
  <si>
    <t>'BABY GIRL POMADE S S 165ML'!A1</t>
  </si>
  <si>
    <t>'BABY BOY POMADE S S 165ML'!A1</t>
  </si>
  <si>
    <t>'BABY GIRL PWD S S 50GM'!A1</t>
  </si>
  <si>
    <t>'BABY GIRL PWD M S 180GM'!A1</t>
  </si>
  <si>
    <t>'BABY BOY PWD S S 50GM'!A1</t>
  </si>
  <si>
    <t>'BABY BOY PWD M S 180GM'!A1</t>
  </si>
  <si>
    <t>'SISTER PDE S S 100ML'!A1</t>
  </si>
  <si>
    <t>'SISTER PDE M S 175ML'!A1</t>
  </si>
  <si>
    <t>'SISTER COCOA-BUTTER POMADE 100'!A1</t>
  </si>
  <si>
    <t>'SISTER COCOA-BUTTER POMADE 175'!A1</t>
  </si>
  <si>
    <t>'AVOCADO PDE B S 280ML'!A1</t>
  </si>
  <si>
    <t>'CARROBEL CREAM 150ML'!A1</t>
  </si>
  <si>
    <t>'CARROBEL CREAM 280 ML'!A1</t>
  </si>
  <si>
    <t>'CARROBEL POMADE 150ML'!A1</t>
  </si>
  <si>
    <t>'CARROBEL POMADE B S 280ML'!A1</t>
  </si>
  <si>
    <t>'JAM RICE MILK SOAP '!A1</t>
  </si>
  <si>
    <t xml:space="preserve">'JAM PAPAYA SOAP </t>
  </si>
  <si>
    <t xml:space="preserve">'JAM CARROT SOAP </t>
  </si>
  <si>
    <t>'SOAP BAR WITH GLUTA'!A1</t>
  </si>
  <si>
    <t>'AHA SERUM 30 ML'!A1</t>
  </si>
  <si>
    <t>'ASANTE PAPAYE AND HONEY MILK'!A1</t>
  </si>
  <si>
    <t>'ASANTE PAPAYA RICE MILK HONEY'!A1</t>
  </si>
  <si>
    <t>'ASANTE CARROT WITH HONEY '!A1</t>
  </si>
  <si>
    <t>'ASANTE TAMARIND GINGER HONEY'!A1</t>
  </si>
  <si>
    <t>'ASANTE TAMARIND TURMERIC HONEY'!A1</t>
  </si>
  <si>
    <t>'ASANTE RICE MILK WITH HONEY'!A1</t>
  </si>
  <si>
    <t>'ASANTE TAMARIND AND HONEY '!A1</t>
  </si>
  <si>
    <t>'ASANTE RICE MILK AND COLLAGEN'!A1</t>
  </si>
  <si>
    <t>'HEAD TO TOE WASH BLUE 500ML'!A1</t>
  </si>
  <si>
    <t>'HEAD TO TOE WASH PINK 500ML'!A1</t>
  </si>
  <si>
    <t>'HEAD TO TOE WASH PURPLE 500ML'!A1</t>
  </si>
  <si>
    <t>'HEAD TO TOE WASH YELLOW 500ML'!A1</t>
  </si>
  <si>
    <t>'CARE BODY LOTION B S 420ML'!A1</t>
  </si>
  <si>
    <t>'COLLAGEN ORANGE SOAP '!A1</t>
  </si>
  <si>
    <t>' PAPAYA ARUBTIN SKIN SPA 700GM'!A1</t>
  </si>
  <si>
    <t>'PAPAYA TOMATO SKIN SPA 700GM'!A1</t>
  </si>
  <si>
    <t>'HONEY TURMERIC SKIN SPA 700GM'!A1</t>
  </si>
  <si>
    <t>'SUPEA AHA SKIN SPA 700GM'!A1</t>
  </si>
  <si>
    <t>'SMOOTH &amp; CLEAN 700GM'!A1</t>
  </si>
  <si>
    <t>'BODY SCRUB TOMATO GOAT MILK '!A1</t>
  </si>
  <si>
    <t>'BODY SCRUB TURMERIC HONEY '!A1</t>
  </si>
  <si>
    <t>'BODY SCRUB RICE MILK '!A1</t>
  </si>
  <si>
    <t>'BODY SCRUB TAMARIND &amp; HONEY '!A1</t>
  </si>
  <si>
    <t>'PAPAYA ARUBTIN LOTION 600ML'!A1</t>
  </si>
  <si>
    <t>'ARUBTIN VIT-C-LOTION 600ML'!A1</t>
  </si>
  <si>
    <t>'SUPER AHA LEMON LOTION 600ML'!A1</t>
  </si>
  <si>
    <t>'HONEY RICE MILK LOTION 600ML'!A1</t>
  </si>
  <si>
    <t>'MIMI WHITE VIT C SERUM 30ML'!A1</t>
  </si>
  <si>
    <t>'PAPAYA &amp; CARROT CREAM 15GM</t>
  </si>
  <si>
    <t>BO-16 HAIR FOOD BLEU 225ML</t>
  </si>
  <si>
    <t xml:space="preserve">'RED CREAM </t>
  </si>
  <si>
    <t xml:space="preserve">'P - CARE CREAM </t>
  </si>
  <si>
    <t xml:space="preserve">'PAULA VIT - C SOAP </t>
  </si>
  <si>
    <t>'POP PEARL CREAM</t>
  </si>
  <si>
    <t>'POP PAPAYA CREAM</t>
  </si>
  <si>
    <t>'POP FACIAL CREAM WITH CURCUMA</t>
  </si>
  <si>
    <t xml:space="preserve">'POP FACIAL CREAM </t>
  </si>
  <si>
    <t>'STYLE UP PARFUM SPORT 50ML</t>
  </si>
  <si>
    <t>SOULEMANE SOW</t>
  </si>
  <si>
    <t>IBRAHIMA MORON</t>
  </si>
  <si>
    <t>EL.SALL</t>
  </si>
  <si>
    <t>SIDDI</t>
  </si>
  <si>
    <t>BO-16 HAIR FOOD JAUNE 225ML</t>
  </si>
  <si>
    <t>PARFUME INTENSE 100ML</t>
  </si>
  <si>
    <t>PARFUME LEGEND 100ML</t>
  </si>
  <si>
    <t>PARFUME BLOSSOM 100ML</t>
  </si>
  <si>
    <t>PARFUME OUD 100ML</t>
  </si>
  <si>
    <t>PARTICULARS</t>
  </si>
  <si>
    <t xml:space="preserve">IN </t>
  </si>
  <si>
    <t xml:space="preserve">OUT </t>
  </si>
  <si>
    <t>MODY BOBO</t>
  </si>
  <si>
    <t>MAMADOU BAILO</t>
  </si>
  <si>
    <t xml:space="preserve">BOUBACAR COSMATIQUE </t>
  </si>
  <si>
    <t xml:space="preserve">WAREHOUSE </t>
  </si>
  <si>
    <t>MAMDOU SALIOU</t>
  </si>
  <si>
    <t xml:space="preserve">THIERNO BARRY COSMATIQUE </t>
  </si>
  <si>
    <t>SHOP</t>
  </si>
  <si>
    <t xml:space="preserve">MADIOU COSMATIQUE </t>
  </si>
  <si>
    <t xml:space="preserve">CASH SALE </t>
  </si>
  <si>
    <t xml:space="preserve">KORKA COSMATIQUE </t>
  </si>
  <si>
    <t xml:space="preserve">MAMADOU DIAN </t>
  </si>
  <si>
    <t xml:space="preserve">ADOULAYE COSMATIQUE </t>
  </si>
  <si>
    <t xml:space="preserve">RECED FROM WAREHOUSE </t>
  </si>
  <si>
    <t xml:space="preserve">SYLLA COSMATIQUE </t>
  </si>
  <si>
    <t>SACKO PROMOTION</t>
  </si>
  <si>
    <t xml:space="preserve">SULEMAN DANBATA </t>
  </si>
  <si>
    <t>IBRAHIMA KADER COSMATICE</t>
  </si>
  <si>
    <t>MAMADOU YERO COSMATIQUE</t>
  </si>
  <si>
    <t>KORKA COSMATIQUE</t>
  </si>
  <si>
    <t xml:space="preserve">ADOULAYE DIALLO COSMATIQUE </t>
  </si>
  <si>
    <t>RECED FROM WAREHOUSE</t>
  </si>
  <si>
    <t>MONTAGA COSMATIQUE</t>
  </si>
  <si>
    <t xml:space="preserve">AMADOU OURY </t>
  </si>
  <si>
    <t>ELH.OUSMANE COSMATICE</t>
  </si>
  <si>
    <t>CARRO PAA LOTION B/S 400ML </t>
  </si>
  <si>
    <t xml:space="preserve">DAMAGE STOCK </t>
  </si>
  <si>
    <t>SEND TO FREETOWN</t>
  </si>
  <si>
    <t>CASH SALE</t>
  </si>
  <si>
    <t xml:space="preserve">SAMPLE USE </t>
  </si>
  <si>
    <t>HABIBA PDE B/S 250ML </t>
  </si>
  <si>
    <t xml:space="preserve">SEND TO FREETOWN </t>
  </si>
  <si>
    <t xml:space="preserve">KORKA COSMATIUE </t>
  </si>
  <si>
    <t>HABIBA PDE S/S 150ML </t>
  </si>
  <si>
    <t>HABIBA SHEA BUTTER PDE B/S 250ML </t>
  </si>
  <si>
    <t>STYLE UP 3 IN 1 SHOWER GEL ACTIVE ICE 420ML </t>
  </si>
  <si>
    <t>STYLE UP 3 IN 1 SHOWER GEL FRESH 420ML </t>
  </si>
  <si>
    <t>STYLE UP 3 IN 1 SHOWER GEL SPORT 420ML </t>
  </si>
  <si>
    <t>MOMTAGA COSMATIQUE</t>
  </si>
  <si>
    <t xml:space="preserve">LAMINE COSMATIQUE </t>
  </si>
  <si>
    <t>THIERNO OUMAR BOUNAYA COSMATIQUE</t>
  </si>
  <si>
    <t>RECED FROM WAREOUSE</t>
  </si>
  <si>
    <t xml:space="preserve">BAH MHAMADOU COSMATIQUE </t>
  </si>
  <si>
    <t xml:space="preserve">SOULEMANE DANBATA </t>
  </si>
  <si>
    <t>THIERNO OUMAR BOUNAYAH</t>
  </si>
  <si>
    <t>STYLE UP SHOWER GEL FOCUS 1050ML </t>
  </si>
  <si>
    <t>STYLE UP SHOWER GEL SPORT 1050ML </t>
  </si>
  <si>
    <t>USD SIDHI  COSMETICS</t>
  </si>
  <si>
    <t xml:space="preserve">MADAM BARRY COSMATIQUE </t>
  </si>
  <si>
    <t xml:space="preserve">SULEMAN COSMATIQUE </t>
  </si>
  <si>
    <t>IBRAHIM DANBATA</t>
  </si>
  <si>
    <t xml:space="preserve">DAMAGE IN CTN </t>
  </si>
  <si>
    <t>SULEMAN DANBATA</t>
  </si>
  <si>
    <t xml:space="preserve">WEEKEND MART </t>
  </si>
  <si>
    <t>STYLE UP SHOWER GEL STAMINA 1050ML </t>
  </si>
  <si>
    <t xml:space="preserve">THIERNO OUMAR COSMATIQUE </t>
  </si>
  <si>
    <t>STYLE UP SHOWER GEL POWER 1050ML </t>
  </si>
  <si>
    <t>THIERNO BARRY COSMATIQUE</t>
  </si>
  <si>
    <t>IBRAHIMA DANABATA</t>
  </si>
  <si>
    <t>IBRAHIMA KADER</t>
  </si>
  <si>
    <t xml:space="preserve">THIERNO OUMAR </t>
  </si>
  <si>
    <t>STYLE UP SHOWER GEL RELAX 1050ML </t>
  </si>
  <si>
    <t>BO-16 HERBAL CARE 280GR </t>
  </si>
  <si>
    <t>BO-16 HAIR FOOD VITAMINS 225ML</t>
  </si>
  <si>
    <t>LAMINE COSMATIQUE</t>
  </si>
  <si>
    <t>THIERNO OUMAR BOUNAYAH COSMATIQUE</t>
  </si>
  <si>
    <t>BO-16 HAIR FOOD 225ML </t>
  </si>
  <si>
    <t>KLEANZ BODY WASH ALOE VERA 750ML </t>
  </si>
  <si>
    <t>SIDY COSMATIQUE</t>
  </si>
  <si>
    <t>KLEANZ BODY WASH STRAWBERRY 750ML</t>
  </si>
  <si>
    <t>KLEANZ BODY WASH ANTIBACTIRAL 750 ML  </t>
  </si>
  <si>
    <t xml:space="preserve">AMADOU OURY COSMATIQUE </t>
  </si>
  <si>
    <t xml:space="preserve">MAMDOU SALIOU </t>
  </si>
  <si>
    <t> KLEANZ BODY WASH VANILLA &amp; HONEY 750 ML  </t>
  </si>
  <si>
    <t>KLEANZ BODY COCONUT OIL &amp; CHOCLATE 750ML</t>
  </si>
  <si>
    <t>ALPHA MAMOU</t>
  </si>
  <si>
    <t xml:space="preserve">CLASSIC HAIR PDE S-S 125 ML </t>
  </si>
  <si>
    <t xml:space="preserve">SIDY COSMATIQUE </t>
  </si>
  <si>
    <t xml:space="preserve">CLASSIC HAIR PDE B-S 300 ML </t>
  </si>
  <si>
    <t>LAIT NATURE CLAIRE 250ML</t>
  </si>
  <si>
    <t>ELH. ALSENY BARRY COSMATIQUE</t>
  </si>
  <si>
    <t>LAIT NATURE CLAIRE 500ML</t>
  </si>
  <si>
    <t>GEL D.SKINS BABY CARE</t>
  </si>
  <si>
    <t xml:space="preserve">LAIT SKIN BABYCARE 750 ML </t>
  </si>
  <si>
    <t xml:space="preserve">DAMAGE </t>
  </si>
  <si>
    <t>LAIT SKINS GOLD 210 ML</t>
  </si>
  <si>
    <t>EAU DE BEBE SKINS 535 ML</t>
  </si>
  <si>
    <t xml:space="preserve">FREETOWN BRANCH </t>
  </si>
  <si>
    <t>CREME CH. SKINS BABY 150GRS</t>
  </si>
  <si>
    <t>CREME NAT.CLAIRE 150 GRS</t>
  </si>
  <si>
    <t xml:space="preserve">LY THIERNO AMADOU COSMATIQUE </t>
  </si>
  <si>
    <t>CREME NAT.CLAIRE 300ML</t>
  </si>
  <si>
    <t>LIQ.VAISS.CLEANOL 750ML MIX</t>
  </si>
  <si>
    <t>LOT SKINS BABY CARE</t>
  </si>
  <si>
    <t>LAIT SKINS 225ML</t>
  </si>
  <si>
    <t>LAIT SKINS 400ML</t>
  </si>
  <si>
    <t>SAV.NAT.CLAIRE 400GRS CARROT</t>
  </si>
  <si>
    <t>ABDUL KARIM COSMATIQUE</t>
  </si>
  <si>
    <t xml:space="preserve">IBRAHIMA KANBAYA COSMATIQUE </t>
  </si>
  <si>
    <t>MOUSTAPHA COSMATIQUE</t>
  </si>
  <si>
    <t>ALPHA MAMAOU</t>
  </si>
  <si>
    <t>MD.SAIDOU COSMATIQUE</t>
  </si>
  <si>
    <t>DIALLO MAMADOU LAMARANA GNF</t>
  </si>
  <si>
    <t>ISMAIL COSMATIQUE</t>
  </si>
  <si>
    <t xml:space="preserve">SAV.NAT.CLAIRE 400GRS CITRON </t>
  </si>
  <si>
    <t xml:space="preserve">SAV.NAT.CLAIRE 400GRS </t>
  </si>
  <si>
    <t>SAV.NAT.CLAIRE 400GR COCOA</t>
  </si>
  <si>
    <t xml:space="preserve">SIDY BAH </t>
  </si>
  <si>
    <t>LAMINE COSMATIQUW</t>
  </si>
  <si>
    <t>SAV.NAT.CLAIRE 400GRS ARGAN</t>
  </si>
  <si>
    <t>SAV.NAT.CLAIRE 400GRS MIEL</t>
  </si>
  <si>
    <t>SAV.NAT.CLAIRE 400GRS PAPAYE</t>
  </si>
  <si>
    <t xml:space="preserve">SAV.NAT.CLAIRE 400GRS AVOCAT </t>
  </si>
  <si>
    <t xml:space="preserve">SAV.NAT.CLAIRE 400GRS LAIT </t>
  </si>
  <si>
    <t>SAV.NAT.CLAIRE 400GRS OLIVE</t>
  </si>
  <si>
    <t>Nano Extra White Natural Papaya &amp; Carrot Soap 160gm</t>
  </si>
  <si>
    <t>KOJIC WHITE 4 IN 1 SOAP 160GM</t>
  </si>
  <si>
    <t>MAMOUDOU YAYA LABE</t>
  </si>
  <si>
    <t>MAMADOU SALIOU</t>
  </si>
  <si>
    <t xml:space="preserve">ABDUL KARIM </t>
  </si>
  <si>
    <t xml:space="preserve">SERADJO COSMATIQUE </t>
  </si>
  <si>
    <t>KOJIC WHITE 4 IN 1 PAPAYA HONEY LEMON SOAP 160GM</t>
  </si>
  <si>
    <t>MADAM WHITE STEM CELL GLUTA CLEAR &amp; GLUTA SOAP 160GM</t>
  </si>
  <si>
    <t xml:space="preserve">RECED FROM WAREHOSUE </t>
  </si>
  <si>
    <t>MADAM WHITE TOMATO CALLAGEN &amp; GLUTA SOAP 160GM</t>
  </si>
  <si>
    <t>Koijc C Extract Gluta Tomato Carrot Soap 135gm</t>
  </si>
  <si>
    <t>KOJIC C EXTRACT GLUTA PAPAYA SOAP 135GM</t>
  </si>
  <si>
    <t xml:space="preserve">AX1 Kojic Papaya  Soap 135gm </t>
  </si>
  <si>
    <t>AX1 KOJIC GALLAGEN GLUTA SOAP 135 GM</t>
  </si>
  <si>
    <t>RECDD FROM WAREHOUSE</t>
  </si>
  <si>
    <t>KOJIC WHITE 4 IN 1 GLUA COLLAGEN SOAP 160GM</t>
  </si>
  <si>
    <t>NANO KOJIC GLUTA PLUS SOAP 135GM</t>
  </si>
  <si>
    <t xml:space="preserve">SADIO COSMATIQUE </t>
  </si>
  <si>
    <t>SULEMAN COSMATIQUE</t>
  </si>
  <si>
    <t xml:space="preserve">SULEMAN KINDIA </t>
  </si>
  <si>
    <t xml:space="preserve">SIRADJO COSMATIQUE </t>
  </si>
  <si>
    <t>DNE NANO KOJIC WHITE X2 SOAP 160GM</t>
  </si>
  <si>
    <t>Kojic White 4 in 1 Aloevera Collagen Soap 160gm</t>
  </si>
  <si>
    <t>Kojic Rice Milk Soap 160gm</t>
  </si>
  <si>
    <t>Kojic Gluta C&amp;E Soap 160gm</t>
  </si>
  <si>
    <t>Kojic Tomato Gluta Soap 160gm</t>
  </si>
  <si>
    <t>Kojic Super White Soap 160gm</t>
  </si>
  <si>
    <t>NANO KOJIC EXTRA WHITE X2 PAPAYA &amp; CARROT SOAP 160 GM</t>
  </si>
  <si>
    <t>NANO KOJIC MISS U CARROT TOMATO 5 IN 1 SOAP 135 GM</t>
  </si>
  <si>
    <t>SYLLA COSMATIQUE</t>
  </si>
  <si>
    <t>SULEMAN KINDIA</t>
  </si>
  <si>
    <t>ALOE PAA PRINCESS B/S 460ML</t>
  </si>
  <si>
    <t>ALOE PAA LOTION B/S 400ML</t>
  </si>
  <si>
    <t xml:space="preserve">DAMAGE PCS </t>
  </si>
  <si>
    <t>ALOE PAA PRINCESS M/S 260ML</t>
  </si>
  <si>
    <t>ALOE PAA PRINCESS S/S 150ML</t>
  </si>
  <si>
    <t>BABY GIRL LOTION 270ML</t>
  </si>
  <si>
    <t>ALGASSIMOU COSMATIQUE</t>
  </si>
  <si>
    <t xml:space="preserve">ALPHA MAMAOU </t>
  </si>
  <si>
    <t>BABY BOY LOTION 270ML</t>
  </si>
  <si>
    <t>BABY BOY OIL M/S 100ML</t>
  </si>
  <si>
    <t>BABY GIRL OIL M/S 100ML</t>
  </si>
  <si>
    <t>BABY GIRL CREAM S/S 165ML</t>
  </si>
  <si>
    <t xml:space="preserve">LAMINE COSMATIQUE SALE RETURN </t>
  </si>
  <si>
    <t>BABY BOY CREAM S/S 165ML</t>
  </si>
  <si>
    <t>BABY GIRL POMADE S/S 165ML</t>
  </si>
  <si>
    <t>BABY BOY POMADE S/S 165ML</t>
  </si>
  <si>
    <t>BABY GIRL PWD S/S 50GM</t>
  </si>
  <si>
    <t>BABY GIRL PWD M/S 180GM</t>
  </si>
  <si>
    <t>BABY BOY PWD S/S 50GM</t>
  </si>
  <si>
    <t>BABY BOY PWD M/S 180GM</t>
  </si>
  <si>
    <t xml:space="preserve">LAMINE COSMATIQUE  </t>
  </si>
  <si>
    <t>SISTER PDE S/S 100ML</t>
  </si>
  <si>
    <t>SISTER PDE M/S 175ML</t>
  </si>
  <si>
    <t>SISTER COCOA-BUTTER POMADE S/S 100ML</t>
  </si>
  <si>
    <t>SISTER COCOA-BUTTER POMADE M/S 175ML</t>
  </si>
  <si>
    <t>AVOCADO PDE B/S 280ML</t>
  </si>
  <si>
    <t>CARROBEL CREAM 150ML</t>
  </si>
  <si>
    <t>CARROBEL CREAM 280ML</t>
  </si>
  <si>
    <t>CARROBEL POMADE 150ML</t>
  </si>
  <si>
    <t>CARROBEL POMADE B/S 280ML</t>
  </si>
  <si>
    <t xml:space="preserve">JAM RICE MILK SOAP </t>
  </si>
  <si>
    <t>JAM PAPAYA SOAP</t>
  </si>
  <si>
    <t xml:space="preserve">IBRAHIM KINDIA COSMETIC </t>
  </si>
  <si>
    <t>THIERNO OUMAR COSMATIQUE</t>
  </si>
  <si>
    <t xml:space="preserve">SULEMAN SOW </t>
  </si>
  <si>
    <t xml:space="preserve">JAM CARROT SOAP </t>
  </si>
  <si>
    <t xml:space="preserve">MONTAGA COSMATIQUE </t>
  </si>
  <si>
    <t>THIERNO BARRY COSMETICS</t>
  </si>
  <si>
    <t>RICE MILK COLLAGEN SOAP BAR WITH GLUTA</t>
  </si>
  <si>
    <t xml:space="preserve">MODY BOBO </t>
  </si>
  <si>
    <t xml:space="preserve">MAMADOU SALIOU </t>
  </si>
  <si>
    <t>AHA SERUM 30 ML</t>
  </si>
  <si>
    <t>MADIOU COSMATIQUE</t>
  </si>
  <si>
    <t>ADOUAYE COSMATIQUE</t>
  </si>
  <si>
    <t>BOUBACAR COSMATIQUE</t>
  </si>
  <si>
    <t>BAH MAHAMDOU COSMATIQUE</t>
  </si>
  <si>
    <t xml:space="preserve">IBRAHAIM KINDIA </t>
  </si>
  <si>
    <t>ASANTE PAPAYE AND HONEY MILK SOAP</t>
  </si>
  <si>
    <t>IBRAHIMA DARA LABE</t>
  </si>
  <si>
    <t>PARTICULAR</t>
  </si>
  <si>
    <t xml:space="preserve">ASANTE PAPAYA RICE MILK WITH HONEY SOAP </t>
  </si>
  <si>
    <t xml:space="preserve">AMADOU BIRO </t>
  </si>
  <si>
    <t xml:space="preserve">THIERNO OUMAR BOUINAYAH COSMATIQUE </t>
  </si>
  <si>
    <t>ASANTE CARROT WITH HONEY SOAP</t>
  </si>
  <si>
    <t>ASANTE TAMARIND GINGER WITH HONEY</t>
  </si>
  <si>
    <t>ASANTE TAMARIND TURMERIC WITH HONEY</t>
  </si>
  <si>
    <t>ASANTE RICE MILK WITH HONEY SOAP</t>
  </si>
  <si>
    <t>ASANTE TAMARIND AND HONEY SOAP</t>
  </si>
  <si>
    <t>ASANTE RICE MILK AND COLLAGEN SOAP</t>
  </si>
  <si>
    <t>BABY HEAD TO TOE WASH BLUE 500ML</t>
  </si>
  <si>
    <t>BABY HEAD TO TOE WASH PINK 500ML</t>
  </si>
  <si>
    <t xml:space="preserve">MAMADOU MIKA </t>
  </si>
  <si>
    <t>BABY HEAD TO TOE WASH PURPLE 500ML</t>
  </si>
  <si>
    <t>BABY HEAD TO TOE WASH YELLOW 500ML</t>
  </si>
  <si>
    <t>COCOA-CARE BODY LOTION B/S 420ML</t>
  </si>
  <si>
    <t xml:space="preserve">COLLAGEN ORANGE SOAP </t>
  </si>
  <si>
    <t xml:space="preserve">SULE,AM COSMATIQUE </t>
  </si>
  <si>
    <t xml:space="preserve">KOJIC WHITE GLUTA PAPAYA ARUBTIN SKIN SPA 700GM </t>
  </si>
  <si>
    <t xml:space="preserve">AMADOU BARRY </t>
  </si>
  <si>
    <t>KOJIC WHITE GLUTA PAPAYA TOMATO SKIN SPA 700GM</t>
  </si>
  <si>
    <t>KOJIC WHITE GLUTA PAPAYA HONEY TURMERIC SKIN SPA 700GM</t>
  </si>
  <si>
    <t>KOJIC WHITE GLUTA COLLAGEN SUPEA AHA SKIN SPA 700GM</t>
  </si>
  <si>
    <t>KOJIC SPA BODY SCRUB NANO SMOOTH &amp; CLEAN 700GM</t>
  </si>
  <si>
    <t>KOJIC SPA BODY SCRUB TOMATO GOAT MILK NANO SMOOTH &amp; CLEAN 700GM</t>
  </si>
  <si>
    <t>\20000</t>
  </si>
  <si>
    <t>KOJIC SPA BODY SCRUB TURMERIC HONEY NANO SMOOTH &amp; CLEAN 700GM</t>
  </si>
  <si>
    <t>KOJIC SPA BODY SCRUB RICE MILK NANO SMOOTH &amp; CLEAN 700GM</t>
  </si>
  <si>
    <t>KOJIC SPA BODY SCRUB TAMARIND &amp; HONEY NANO SMOOTH &amp; CLEAN 700GM</t>
  </si>
  <si>
    <t>KOJIC WHITE GLUTA PAPAYA ARUBTIN LOTION 600ML</t>
  </si>
  <si>
    <t xml:space="preserve">BAH MAMADOU COSMATIQUE </t>
  </si>
  <si>
    <t>KOJIC WHITE GLUTA TOMATO ARUBTIN VIT-C-LOTION 600ML</t>
  </si>
  <si>
    <t>KOJIC WHITE GLUTA TURMERIC SUPER AHA LEMON LOTION 600ML</t>
  </si>
  <si>
    <t>KOJIC WHITE GLUTA TURMERIC HONEY RICE MILK LOTION 600ML</t>
  </si>
  <si>
    <t>MIMI WHITE VIT C SERUM 30ML</t>
  </si>
  <si>
    <t xml:space="preserve">IBRAHIM KINDIA </t>
  </si>
  <si>
    <t>NANO EXTRA WHITE PAPAYA &amp; CARROT CREAM 15GM</t>
  </si>
  <si>
    <t xml:space="preserve">RED CREAM </t>
  </si>
  <si>
    <t xml:space="preserve">P - CARE CREAM </t>
  </si>
  <si>
    <t xml:space="preserve">PAULA VIT - C SOAP </t>
  </si>
  <si>
    <t xml:space="preserve">IBRAHIMA DANBATA </t>
  </si>
  <si>
    <t>POP PEARL CREAM</t>
  </si>
  <si>
    <t>POP PAPAYA CREAM</t>
  </si>
  <si>
    <t>POP FACIAL CREAM WITH CURCUMA</t>
  </si>
  <si>
    <t xml:space="preserve">POP FACIAL CREAM </t>
  </si>
  <si>
    <t>STYLE UP PARFUM SPORT 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</si>
</sst>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800]dddd\,\ mmmm\ dd\,\ yyyy"/>
    <numFmt numFmtId="165" formatCode="_-* #,##0.00_-;\-* #,##0.00_-;_-* &quot;-&quot;??_-;_-@"/>
    <numFmt numFmtId="166" formatCode="_(* #,##0_);_(* \(#,##0\);_(* &quot;-&quot;??_);_(@_)"/>
    <numFmt numFmtId="167" formatCode="D/M/YYYY"/>
  </numFmts>
  <fonts count="66">
    <font>
      <sz val="11.0"/>
      <color theme="1"/>
      <name val="Calibri"/>
      <scheme val="minor"/>
    </font>
    <font>
      <b/>
      <i/>
      <u/>
      <sz val="16.0"/>
      <color rgb="FF0000FF"/>
      <name val="Calibri"/>
    </font>
    <font>
      <b/>
      <sz val="26.0"/>
      <color theme="1"/>
      <name val="Calibri"/>
    </font>
    <font>
      <sz val="27.0"/>
      <color theme="1"/>
      <name val="Calibri"/>
    </font>
    <font/>
    <font>
      <b/>
      <i/>
      <sz val="18.0"/>
      <color rgb="FF00FF00"/>
      <name val="Calibri"/>
      <scheme val="minor"/>
    </font>
    <font>
      <color theme="1"/>
      <name val="Calibri"/>
      <scheme val="minor"/>
    </font>
    <font>
      <b/>
      <sz val="14.0"/>
      <color theme="1"/>
      <name val="Calibri"/>
    </font>
    <font>
      <b/>
      <i/>
      <sz val="13.0"/>
      <color rgb="FF0000FF"/>
      <name val="Calibri"/>
    </font>
    <font>
      <b/>
      <sz val="14.0"/>
      <color rgb="FFFF0000"/>
      <name val="Calibri"/>
    </font>
    <font>
      <b/>
      <sz val="13.0"/>
      <color theme="1"/>
      <name val="Calibri"/>
    </font>
    <font>
      <b/>
      <sz val="14.0"/>
      <color rgb="FF000000"/>
      <name val="Calibri"/>
    </font>
    <font>
      <b/>
      <i/>
      <sz val="17.0"/>
      <color rgb="FF00FF00"/>
      <name val="Calibri"/>
      <scheme val="minor"/>
    </font>
    <font>
      <b/>
      <sz val="12.0"/>
      <color theme="1"/>
      <name val="Calibri"/>
    </font>
    <font>
      <sz val="12.0"/>
      <color rgb="FF17365D"/>
      <name val="Calibri"/>
    </font>
    <font>
      <b/>
      <i/>
      <u/>
      <sz val="13.0"/>
      <color rgb="FF0000FF"/>
      <name val="Calibri"/>
    </font>
    <font>
      <b/>
      <sz val="13.0"/>
      <color rgb="FFFF0000"/>
      <name val="Calibri"/>
    </font>
    <font>
      <b/>
      <sz val="12.0"/>
      <color rgb="FF17365D"/>
      <name val="Calibri"/>
    </font>
    <font>
      <sz val="11.0"/>
      <color rgb="FFFF0000"/>
      <name val="Calibri"/>
    </font>
    <font>
      <b/>
      <sz val="13.0"/>
      <color rgb="FF17365D"/>
      <name val="Calibri"/>
    </font>
    <font>
      <b/>
      <sz val="13.0"/>
      <color rgb="FF000000"/>
      <name val="Calibri"/>
    </font>
    <font>
      <b/>
      <sz val="14.0"/>
      <color rgb="FF17365D"/>
      <name val="Calibri"/>
    </font>
    <font>
      <b/>
      <sz val="17.0"/>
      <color theme="1"/>
      <name val="Calibri"/>
      <scheme val="minor"/>
    </font>
    <font>
      <b/>
      <i/>
      <sz val="13.0"/>
      <color theme="1"/>
      <name val="Calibri"/>
      <scheme val="minor"/>
    </font>
    <font>
      <b/>
      <i/>
      <sz val="18.0"/>
      <color rgb="FF0000FF"/>
      <name val="Calibri"/>
      <scheme val="minor"/>
    </font>
    <font>
      <sz val="12.0"/>
      <color rgb="FF000000"/>
      <name val="Calibri"/>
    </font>
    <font>
      <b/>
      <i/>
      <u/>
      <sz val="13.0"/>
      <color rgb="FF0000FF"/>
      <name val="Calibri"/>
    </font>
    <font>
      <b/>
      <sz val="14.0"/>
      <color theme="1"/>
      <name val="Calibri"/>
      <scheme val="minor"/>
    </font>
    <font>
      <sz val="12.0"/>
      <color rgb="FF000000"/>
      <name val="Calibri"/>
      <scheme val="minor"/>
    </font>
    <font>
      <b/>
      <sz val="13.0"/>
      <color theme="1"/>
      <name val="Calibri"/>
      <scheme val="minor"/>
    </font>
    <font>
      <b/>
      <sz val="13.0"/>
      <color rgb="FFFF0000"/>
      <name val="Calibri"/>
      <scheme val="minor"/>
    </font>
    <font>
      <b/>
      <sz val="12.0"/>
      <color theme="1"/>
      <name val="Calibri"/>
      <scheme val="minor"/>
    </font>
    <font>
      <b/>
      <i/>
      <u/>
      <sz val="13.0"/>
      <color rgb="FF0000FF"/>
      <name val="Calibri"/>
    </font>
    <font>
      <b/>
      <sz val="14.0"/>
      <color rgb="FFFF0000"/>
      <name val="Calibri"/>
      <scheme val="minor"/>
    </font>
    <font>
      <sz val="12.0"/>
      <color theme="1"/>
      <name val="Calibri"/>
      <scheme val="minor"/>
    </font>
    <font>
      <color rgb="FFFF0000"/>
      <name val="Calibri"/>
      <scheme val="minor"/>
    </font>
    <font>
      <b/>
      <i/>
      <u/>
      <sz val="13.0"/>
      <color rgb="FF0000FF"/>
      <name val="Calibri"/>
    </font>
    <font>
      <b/>
      <i/>
      <u/>
      <sz val="13.0"/>
      <color rgb="FF0000FF"/>
      <name val="Calibri"/>
    </font>
    <font>
      <b/>
      <i/>
      <u/>
      <sz val="13.0"/>
      <color rgb="FF0000FF"/>
      <name val="Calibri"/>
    </font>
    <font>
      <color rgb="FF000000"/>
      <name val="Calibri"/>
      <scheme val="minor"/>
    </font>
    <font>
      <b/>
      <i/>
      <sz val="11.0"/>
      <color theme="1"/>
      <name val="Calibri"/>
      <scheme val="minor"/>
    </font>
    <font>
      <b/>
      <i/>
      <u/>
      <sz val="13.0"/>
      <color rgb="FF0000FF"/>
      <name val="Calibri"/>
    </font>
    <font>
      <b/>
      <sz val="26.0"/>
      <color rgb="FF0000FF"/>
      <name val="Calibri"/>
    </font>
    <font>
      <b/>
      <i/>
      <sz val="15.0"/>
      <color rgb="FF00FF00"/>
      <name val="Calibri"/>
      <scheme val="minor"/>
    </font>
    <font>
      <sz val="12.0"/>
      <color theme="1"/>
      <name val="Calibri"/>
    </font>
    <font>
      <b/>
      <sz val="15.0"/>
      <color theme="1"/>
      <name val="Calibri"/>
      <scheme val="minor"/>
    </font>
    <font>
      <sz val="11.0"/>
      <color theme="1"/>
      <name val="Calibri"/>
    </font>
    <font>
      <sz val="15.0"/>
      <color theme="1"/>
      <name val="Calibri"/>
      <scheme val="minor"/>
    </font>
    <font>
      <b/>
      <sz val="26.0"/>
      <color rgb="FFFFFF00"/>
      <name val="Calibri"/>
    </font>
    <font>
      <b/>
      <sz val="26.0"/>
      <color rgb="FF000000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sz val="13.0"/>
      <color rgb="FFFF0000"/>
      <name val="Calibri"/>
    </font>
    <font>
      <sz val="12.0"/>
      <color rgb="FFFF0000"/>
      <name val="Calibri"/>
      <scheme val="minor"/>
    </font>
    <font>
      <sz val="13.0"/>
      <color rgb="FFFF0000"/>
      <name val="Calibri"/>
      <scheme val="minor"/>
    </font>
    <font>
      <sz val="13.0"/>
      <color theme="1"/>
      <name val="Calibri"/>
    </font>
    <font>
      <sz val="13.0"/>
      <color rgb="FF17365D"/>
      <name val="Calibri"/>
    </font>
    <font>
      <sz val="13.0"/>
      <color theme="1"/>
      <name val="Calibri"/>
      <scheme val="minor"/>
    </font>
    <font>
      <b/>
      <sz val="22.0"/>
      <color rgb="FFFF0000"/>
      <name val="Calibri"/>
    </font>
    <font>
      <b/>
      <sz val="11.0"/>
      <color theme="1"/>
      <name val="Calibri"/>
    </font>
    <font>
      <sz val="11.0"/>
      <color rgb="FF17365D"/>
      <name val="Calibri"/>
    </font>
    <font>
      <b/>
      <sz val="11.0"/>
      <color rgb="FF17365D"/>
      <name val="Calibri"/>
    </font>
    <font>
      <sz val="26.0"/>
      <color theme="1"/>
      <name val="Calibri"/>
    </font>
    <font>
      <b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4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 style="thin">
        <color rgb="FF000000"/>
      </right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2" fillId="2" fontId="2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2" fontId="5" numFmtId="0" xfId="0" applyAlignment="1" applyBorder="1" applyFont="1">
      <alignment horizontal="center" readingOrder="0"/>
    </xf>
    <xf borderId="8" fillId="0" fontId="4" numFmtId="0" xfId="0" applyBorder="1" applyFont="1"/>
    <xf borderId="0" fillId="3" fontId="6" numFmtId="0" xfId="0" applyFill="1" applyFont="1"/>
    <xf borderId="9" fillId="4" fontId="7" numFmtId="0" xfId="0" applyAlignment="1" applyBorder="1" applyFill="1" applyFont="1">
      <alignment horizontal="center" vertical="center"/>
    </xf>
    <xf borderId="10" fillId="0" fontId="4" numFmtId="0" xfId="0" applyBorder="1" applyFont="1"/>
    <xf borderId="9" fillId="4" fontId="7" numFmtId="0" xfId="0" applyAlignment="1" applyBorder="1" applyFont="1">
      <alignment horizontal="center" readingOrder="0" vertical="center"/>
    </xf>
    <xf borderId="9" fillId="5" fontId="8" numFmtId="0" xfId="0" applyAlignment="1" applyBorder="1" applyFill="1" applyFont="1">
      <alignment horizontal="center"/>
    </xf>
    <xf borderId="9" fillId="4" fontId="9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center" readingOrder="0" vertical="center"/>
    </xf>
    <xf borderId="11" fillId="6" fontId="13" numFmtId="164" xfId="0" applyAlignment="1" applyBorder="1" applyFill="1" applyFont="1" applyNumberFormat="1">
      <alignment horizontal="left" readingOrder="0" vertical="bottom"/>
    </xf>
    <xf borderId="11" fillId="6" fontId="14" numFmtId="0" xfId="0" applyAlignment="1" applyBorder="1" applyFont="1">
      <alignment horizontal="left"/>
    </xf>
    <xf borderId="11" fillId="4" fontId="10" numFmtId="0" xfId="0" applyAlignment="1" applyBorder="1" applyFont="1">
      <alignment horizontal="center" readingOrder="0" vertical="center"/>
    </xf>
    <xf borderId="7" fillId="5" fontId="15" numFmtId="0" xfId="0" applyAlignment="1" applyBorder="1" applyFont="1">
      <alignment horizontal="center"/>
    </xf>
    <xf borderId="11" fillId="4" fontId="16" numFmtId="0" xfId="0" applyAlignment="1" applyBorder="1" applyFont="1">
      <alignment horizontal="center" readingOrder="0" vertical="center"/>
    </xf>
    <xf borderId="11" fillId="6" fontId="17" numFmtId="3" xfId="0" applyAlignment="1" applyBorder="1" applyFont="1" applyNumberFormat="1">
      <alignment horizontal="center" readingOrder="0"/>
    </xf>
    <xf borderId="11" fillId="2" fontId="12" numFmtId="0" xfId="0" applyAlignment="1" applyBorder="1" applyFont="1">
      <alignment horizontal="center" readingOrder="0" vertical="center"/>
    </xf>
    <xf borderId="11" fillId="6" fontId="18" numFmtId="0" xfId="0" applyAlignment="1" applyBorder="1" applyFont="1">
      <alignment horizontal="center"/>
    </xf>
    <xf borderId="11" fillId="6" fontId="13" numFmtId="164" xfId="0" applyAlignment="1" applyBorder="1" applyFont="1" applyNumberFormat="1">
      <alignment horizontal="left" readingOrder="0" vertical="center"/>
    </xf>
    <xf borderId="9" fillId="5" fontId="8" numFmtId="3" xfId="0" applyAlignment="1" applyBorder="1" applyFont="1" applyNumberFormat="1">
      <alignment horizontal="center"/>
    </xf>
    <xf borderId="11" fillId="6" fontId="19" numFmtId="0" xfId="0" applyAlignment="1" applyBorder="1" applyFont="1">
      <alignment horizontal="center"/>
    </xf>
    <xf borderId="11" fillId="6" fontId="10" numFmtId="164" xfId="0" applyAlignment="1" applyBorder="1" applyFont="1" applyNumberFormat="1">
      <alignment horizontal="left" readingOrder="0" vertical="center"/>
    </xf>
    <xf borderId="11" fillId="6" fontId="19" numFmtId="3" xfId="0" applyAlignment="1" applyBorder="1" applyFont="1" applyNumberFormat="1">
      <alignment horizontal="center"/>
    </xf>
    <xf borderId="14" fillId="6" fontId="20" numFmtId="3" xfId="0" applyAlignment="1" applyBorder="1" applyFont="1" applyNumberFormat="1">
      <alignment horizontal="center" readingOrder="0"/>
    </xf>
    <xf borderId="11" fillId="6" fontId="21" numFmtId="0" xfId="0" applyAlignment="1" applyBorder="1" applyFont="1">
      <alignment horizontal="left"/>
    </xf>
    <xf borderId="12" fillId="5" fontId="8" numFmtId="0" xfId="0" applyAlignment="1" applyBorder="1" applyFont="1">
      <alignment horizontal="center"/>
    </xf>
    <xf borderId="11" fillId="6" fontId="21" numFmtId="3" xfId="0" applyAlignment="1" applyBorder="1" applyFont="1" applyNumberFormat="1">
      <alignment horizontal="center" readingOrder="0"/>
    </xf>
    <xf borderId="11" fillId="6" fontId="16" numFmtId="0" xfId="0" applyAlignment="1" applyBorder="1" applyFont="1">
      <alignment horizontal="center"/>
    </xf>
    <xf borderId="11" fillId="6" fontId="9" numFmtId="0" xfId="0" applyAlignment="1" applyBorder="1" applyFont="1">
      <alignment horizontal="center"/>
    </xf>
    <xf borderId="11" fillId="6" fontId="19" numFmtId="3" xfId="0" applyAlignment="1" applyBorder="1" applyFont="1" applyNumberFormat="1">
      <alignment horizontal="center" readingOrder="0"/>
    </xf>
    <xf borderId="11" fillId="6" fontId="22" numFmtId="0" xfId="0" applyAlignment="1" applyBorder="1" applyFont="1">
      <alignment horizontal="center" readingOrder="0"/>
    </xf>
    <xf borderId="11" fillId="7" fontId="13" numFmtId="164" xfId="0" applyAlignment="1" applyBorder="1" applyFill="1" applyFont="1" applyNumberFormat="1">
      <alignment horizontal="left" readingOrder="0" vertical="center"/>
    </xf>
    <xf borderId="11" fillId="6" fontId="23" numFmtId="0" xfId="0" applyAlignment="1" applyBorder="1" applyFont="1">
      <alignment horizontal="center" readingOrder="0"/>
    </xf>
    <xf borderId="11" fillId="7" fontId="17" numFmtId="0" xfId="0" applyAlignment="1" applyBorder="1" applyFont="1">
      <alignment horizontal="left" readingOrder="0"/>
    </xf>
    <xf borderId="15" fillId="5" fontId="24" numFmtId="3" xfId="0" applyAlignment="1" applyBorder="1" applyFont="1" applyNumberFormat="1">
      <alignment horizontal="center" vertical="center"/>
    </xf>
    <xf borderId="11" fillId="7" fontId="17" numFmtId="3" xfId="0" applyAlignment="1" applyBorder="1" applyFont="1" applyNumberFormat="1">
      <alignment horizontal="center" readingOrder="0"/>
    </xf>
    <xf borderId="13" fillId="7" fontId="13" numFmtId="164" xfId="0" applyAlignment="1" applyBorder="1" applyFont="1" applyNumberFormat="1">
      <alignment horizontal="center" readingOrder="0" vertical="center"/>
    </xf>
    <xf borderId="11" fillId="7" fontId="9" numFmtId="0" xfId="0" applyAlignment="1" applyBorder="1" applyFont="1">
      <alignment horizontal="center" readingOrder="0"/>
    </xf>
    <xf borderId="11" fillId="5" fontId="8" numFmtId="0" xfId="0" applyAlignment="1" applyBorder="1" applyFont="1">
      <alignment horizontal="center"/>
    </xf>
    <xf borderId="11" fillId="7" fontId="19" numFmtId="3" xfId="0" applyAlignment="1" applyBorder="1" applyFont="1" applyNumberFormat="1">
      <alignment horizontal="center" readingOrder="0"/>
    </xf>
    <xf borderId="13" fillId="7" fontId="25" numFmtId="164" xfId="0" applyAlignment="1" applyBorder="1" applyFont="1" applyNumberFormat="1">
      <alignment horizontal="center" readingOrder="0" vertical="center"/>
    </xf>
    <xf borderId="11" fillId="7" fontId="16" numFmtId="0" xfId="0" applyAlignment="1" applyBorder="1" applyFont="1">
      <alignment horizontal="center" readingOrder="0"/>
    </xf>
    <xf borderId="11" fillId="7" fontId="25" numFmtId="0" xfId="0" applyAlignment="1" applyBorder="1" applyFont="1">
      <alignment horizontal="left" readingOrder="0"/>
    </xf>
    <xf borderId="16" fillId="5" fontId="26" numFmtId="0" xfId="0" applyAlignment="1" applyBorder="1" applyFont="1">
      <alignment horizontal="center"/>
    </xf>
    <xf borderId="11" fillId="7" fontId="21" numFmtId="3" xfId="0" applyAlignment="1" applyBorder="1" applyFont="1" applyNumberFormat="1">
      <alignment horizontal="center"/>
    </xf>
    <xf borderId="11" fillId="7" fontId="16" numFmtId="0" xfId="0" applyAlignment="1" applyBorder="1" applyFont="1">
      <alignment horizontal="center" vertical="bottom"/>
    </xf>
    <xf borderId="11" fillId="5" fontId="8" numFmtId="3" xfId="0" applyAlignment="1" applyBorder="1" applyFont="1" applyNumberFormat="1">
      <alignment horizontal="center"/>
    </xf>
    <xf borderId="11" fillId="7" fontId="19" numFmtId="3" xfId="0" applyAlignment="1" applyBorder="1" applyFont="1" applyNumberFormat="1">
      <alignment horizontal="center"/>
    </xf>
    <xf borderId="11" fillId="7" fontId="27" numFmtId="0" xfId="0" applyAlignment="1" applyBorder="1" applyFont="1">
      <alignment horizontal="center"/>
    </xf>
    <xf borderId="14" fillId="5" fontId="8" numFmtId="0" xfId="0" applyAlignment="1" applyBorder="1" applyFont="1">
      <alignment horizontal="center"/>
    </xf>
    <xf borderId="17" fillId="0" fontId="4" numFmtId="0" xfId="0" applyBorder="1" applyFont="1"/>
    <xf borderId="11" fillId="7" fontId="28" numFmtId="0" xfId="0" applyAlignment="1" applyBorder="1" applyFont="1">
      <alignment horizontal="left" readingOrder="0"/>
    </xf>
    <xf borderId="11" fillId="7" fontId="17" numFmtId="3" xfId="0" applyAlignment="1" applyBorder="1" applyFont="1" applyNumberFormat="1">
      <alignment horizontal="center"/>
    </xf>
    <xf borderId="14" fillId="7" fontId="20" numFmtId="3" xfId="0" applyAlignment="1" applyBorder="1" applyFont="1" applyNumberFormat="1">
      <alignment horizontal="center"/>
    </xf>
    <xf borderId="18" fillId="0" fontId="4" numFmtId="0" xfId="0" applyBorder="1" applyFont="1"/>
    <xf borderId="11" fillId="7" fontId="23" numFmtId="0" xfId="0" applyAlignment="1" applyBorder="1" applyFont="1">
      <alignment horizontal="center"/>
    </xf>
    <xf borderId="9" fillId="0" fontId="4" numFmtId="0" xfId="0" applyBorder="1" applyFont="1"/>
    <xf borderId="13" fillId="7" fontId="10" numFmtId="164" xfId="0" applyAlignment="1" applyBorder="1" applyFont="1" applyNumberFormat="1">
      <alignment horizontal="center" readingOrder="0" vertical="center"/>
    </xf>
    <xf borderId="11" fillId="7" fontId="29" numFmtId="0" xfId="0" applyBorder="1" applyFont="1"/>
    <xf borderId="11" fillId="7" fontId="30" numFmtId="0" xfId="0" applyAlignment="1" applyBorder="1" applyFont="1">
      <alignment horizontal="center" readingOrder="0"/>
    </xf>
    <xf borderId="14" fillId="5" fontId="8" numFmtId="3" xfId="0" applyAlignment="1" applyBorder="1" applyFont="1" applyNumberFormat="1">
      <alignment horizontal="center"/>
    </xf>
    <xf borderId="11" fillId="7" fontId="13" numFmtId="164" xfId="0" applyAlignment="1" applyBorder="1" applyFont="1" applyNumberFormat="1">
      <alignment horizontal="left" readingOrder="0" vertical="bottom"/>
    </xf>
    <xf borderId="11" fillId="7" fontId="17" numFmtId="0" xfId="0" applyAlignment="1" applyBorder="1" applyFont="1">
      <alignment horizontal="left"/>
    </xf>
    <xf borderId="11" fillId="7" fontId="9" numFmtId="0" xfId="0" applyAlignment="1" applyBorder="1" applyFont="1">
      <alignment horizontal="center"/>
    </xf>
    <xf borderId="11" fillId="7" fontId="10" numFmtId="164" xfId="0" applyAlignment="1" applyBorder="1" applyFont="1" applyNumberFormat="1">
      <alignment horizontal="left" readingOrder="0" vertical="bottom"/>
    </xf>
    <xf borderId="11" fillId="7" fontId="31" numFmtId="0" xfId="0" applyAlignment="1" applyBorder="1" applyFont="1">
      <alignment horizontal="left"/>
    </xf>
    <xf borderId="11" fillId="8" fontId="8" numFmtId="0" xfId="0" applyAlignment="1" applyBorder="1" applyFill="1" applyFont="1">
      <alignment horizontal="center"/>
    </xf>
    <xf borderId="11" fillId="9" fontId="17" numFmtId="3" xfId="0" applyAlignment="1" applyBorder="1" applyFill="1" applyFont="1" applyNumberFormat="1">
      <alignment horizontal="center"/>
    </xf>
    <xf borderId="16" fillId="8" fontId="32" numFmtId="0" xfId="0" applyAlignment="1" applyBorder="1" applyFont="1">
      <alignment horizontal="center"/>
    </xf>
    <xf borderId="11" fillId="7" fontId="30" numFmtId="0" xfId="0" applyAlignment="1" applyBorder="1" applyFont="1">
      <alignment horizontal="center"/>
    </xf>
    <xf borderId="11" fillId="8" fontId="8" numFmtId="3" xfId="0" applyAlignment="1" applyBorder="1" applyFont="1" applyNumberFormat="1">
      <alignment horizontal="center"/>
    </xf>
    <xf borderId="11" fillId="7" fontId="31" numFmtId="0" xfId="0" applyBorder="1" applyFont="1"/>
    <xf borderId="14" fillId="8" fontId="8" numFmtId="0" xfId="0" applyAlignment="1" applyBorder="1" applyFont="1">
      <alignment horizontal="center"/>
    </xf>
    <xf borderId="11" fillId="7" fontId="33" numFmtId="0" xfId="0" applyBorder="1" applyFont="1"/>
    <xf borderId="19" fillId="0" fontId="4" numFmtId="0" xfId="0" applyBorder="1" applyFont="1"/>
    <xf borderId="11" fillId="7" fontId="25" numFmtId="164" xfId="0" applyAlignment="1" applyBorder="1" applyFont="1" applyNumberFormat="1">
      <alignment horizontal="left" readingOrder="0" vertical="bottom"/>
    </xf>
    <xf borderId="11" fillId="7" fontId="28" numFmtId="0" xfId="0" applyAlignment="1" applyBorder="1" applyFont="1">
      <alignment horizontal="left"/>
    </xf>
    <xf borderId="11" fillId="7" fontId="16" numFmtId="0" xfId="0" applyAlignment="1" applyBorder="1" applyFont="1">
      <alignment horizontal="center" readingOrder="0" vertical="bottom"/>
    </xf>
    <xf borderId="11" fillId="7" fontId="28" numFmtId="0" xfId="0" applyBorder="1" applyFont="1"/>
    <xf borderId="11" fillId="7" fontId="34" numFmtId="0" xfId="0" applyBorder="1" applyFont="1"/>
    <xf borderId="11" fillId="7" fontId="35" numFmtId="0" xfId="0" applyAlignment="1" applyBorder="1" applyFont="1">
      <alignment horizontal="center"/>
    </xf>
    <xf borderId="11" fillId="7" fontId="34" numFmtId="0" xfId="0" applyAlignment="1" applyBorder="1" applyFont="1">
      <alignment horizontal="left"/>
    </xf>
    <xf borderId="11" fillId="7" fontId="35" numFmtId="0" xfId="0" applyBorder="1" applyFont="1"/>
    <xf borderId="20" fillId="5" fontId="36" numFmtId="0" xfId="0" applyAlignment="1" applyBorder="1" applyFont="1">
      <alignment horizontal="center"/>
    </xf>
    <xf borderId="11" fillId="5" fontId="37" numFmtId="0" xfId="0" applyAlignment="1" applyBorder="1" applyFont="1">
      <alignment horizontal="center" vertical="center"/>
    </xf>
    <xf borderId="0" fillId="3" fontId="35" numFmtId="0" xfId="0" applyAlignment="1" applyFont="1">
      <alignment horizontal="center"/>
    </xf>
    <xf borderId="11" fillId="7" fontId="6" numFmtId="0" xfId="0" applyAlignment="1" applyBorder="1" applyFont="1">
      <alignment horizontal="left"/>
    </xf>
    <xf borderId="0" fillId="0" fontId="35" numFmtId="0" xfId="0" applyAlignment="1" applyFont="1">
      <alignment horizontal="center"/>
    </xf>
    <xf borderId="11" fillId="7" fontId="6" numFmtId="0" xfId="0" applyBorder="1" applyFont="1"/>
    <xf borderId="11" fillId="5" fontId="38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39" numFmtId="0" xfId="0" applyFont="1"/>
    <xf borderId="0" fillId="0" fontId="40" numFmtId="0" xfId="0" applyAlignment="1" applyFont="1">
      <alignment horizontal="center"/>
    </xf>
    <xf borderId="0" fillId="0" fontId="35" numFmtId="0" xfId="0" applyFont="1"/>
    <xf borderId="0" fillId="0" fontId="6" numFmtId="0" xfId="0" applyAlignment="1" applyFont="1">
      <alignment horizontal="center"/>
    </xf>
    <xf quotePrefix="1" borderId="11" fillId="5" fontId="41" numFmtId="0" xfId="0" applyAlignment="1" applyBorder="1" applyFont="1">
      <alignment horizontal="center"/>
    </xf>
    <xf borderId="2" fillId="2" fontId="42" numFmtId="0" xfId="0" applyAlignment="1" applyBorder="1" applyFont="1">
      <alignment horizontal="center" readingOrder="0"/>
    </xf>
    <xf borderId="1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horizontal="center" readingOrder="0" vertical="center"/>
    </xf>
    <xf borderId="11" fillId="2" fontId="43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1" fillId="6" fontId="44" numFmtId="164" xfId="0" applyAlignment="1" applyBorder="1" applyFont="1" applyNumberFormat="1">
      <alignment horizontal="left" readingOrder="0" vertical="bottom"/>
    </xf>
    <xf borderId="11" fillId="6" fontId="45" numFmtId="0" xfId="0" applyAlignment="1" applyBorder="1" applyFont="1">
      <alignment horizontal="center" readingOrder="0"/>
    </xf>
    <xf borderId="11" fillId="7" fontId="44" numFmtId="164" xfId="0" applyAlignment="1" applyBorder="1" applyFont="1" applyNumberFormat="1">
      <alignment horizontal="left" readingOrder="0" vertical="bottom"/>
    </xf>
    <xf borderId="13" fillId="7" fontId="44" numFmtId="164" xfId="0" applyAlignment="1" applyBorder="1" applyFont="1" applyNumberFormat="1">
      <alignment horizontal="center" readingOrder="0" vertical="center"/>
    </xf>
    <xf borderId="0" fillId="0" fontId="46" numFmtId="165" xfId="0" applyFont="1" applyNumberFormat="1"/>
    <xf borderId="11" fillId="7" fontId="34" numFmtId="0" xfId="0" applyAlignment="1" applyBorder="1" applyFont="1">
      <alignment readingOrder="0"/>
    </xf>
    <xf borderId="11" fillId="7" fontId="30" numFmtId="0" xfId="0" applyBorder="1" applyFont="1"/>
    <xf borderId="0" fillId="0" fontId="34" numFmtId="0" xfId="0" applyFont="1"/>
    <xf borderId="0" fillId="0" fontId="47" numFmtId="0" xfId="0" applyFont="1"/>
    <xf borderId="2" fillId="2" fontId="48" numFmtId="0" xfId="0" applyAlignment="1" applyBorder="1" applyFont="1">
      <alignment horizontal="center" readingOrder="0"/>
    </xf>
    <xf borderId="11" fillId="6" fontId="10" numFmtId="164" xfId="0" applyAlignment="1" applyBorder="1" applyFont="1" applyNumberFormat="1">
      <alignment horizontal="left" readingOrder="0" vertical="bottom"/>
    </xf>
    <xf borderId="2" fillId="2" fontId="49" numFmtId="0" xfId="0" applyAlignment="1" applyBorder="1" applyFont="1">
      <alignment horizontal="center" readingOrder="0"/>
    </xf>
    <xf borderId="11" fillId="7" fontId="14" numFmtId="3" xfId="0" applyAlignment="1" applyBorder="1" applyFont="1" applyNumberFormat="1">
      <alignment horizontal="center" readingOrder="0"/>
    </xf>
    <xf borderId="11" fillId="7" fontId="50" numFmtId="0" xfId="0" applyAlignment="1" applyBorder="1" applyFont="1">
      <alignment horizontal="center" readingOrder="0"/>
    </xf>
    <xf borderId="11" fillId="7" fontId="14" numFmtId="0" xfId="0" applyAlignment="1" applyBorder="1" applyFont="1">
      <alignment horizontal="left" readingOrder="0"/>
    </xf>
    <xf borderId="11" fillId="7" fontId="14" numFmtId="3" xfId="0" applyAlignment="1" applyBorder="1" applyFont="1" applyNumberFormat="1">
      <alignment horizontal="center"/>
    </xf>
    <xf borderId="11" fillId="7" fontId="14" numFmtId="0" xfId="0" applyAlignment="1" applyBorder="1" applyFont="1">
      <alignment horizontal="left"/>
    </xf>
    <xf borderId="11" fillId="7" fontId="51" numFmtId="0" xfId="0" applyAlignment="1" applyBorder="1" applyFont="1">
      <alignment horizontal="center" readingOrder="0"/>
    </xf>
    <xf borderId="11" fillId="6" fontId="52" numFmtId="0" xfId="0" applyAlignment="1" applyBorder="1" applyFont="1">
      <alignment horizontal="center"/>
    </xf>
    <xf borderId="11" fillId="7" fontId="14" numFmtId="0" xfId="0" applyAlignment="1" applyBorder="1" applyFont="1">
      <alignment horizontal="center"/>
    </xf>
    <xf borderId="11" fillId="7" fontId="52" numFmtId="0" xfId="0" applyAlignment="1" applyBorder="1" applyFont="1">
      <alignment horizontal="center" readingOrder="0"/>
    </xf>
    <xf borderId="11" fillId="7" fontId="53" numFmtId="0" xfId="0" applyBorder="1" applyFont="1"/>
    <xf borderId="11" fillId="7" fontId="54" numFmtId="0" xfId="0" applyBorder="1" applyFont="1"/>
    <xf borderId="11" fillId="7" fontId="44" numFmtId="164" xfId="0" applyAlignment="1" applyBorder="1" applyFont="1" applyNumberFormat="1">
      <alignment horizontal="left" vertical="bottom"/>
    </xf>
    <xf borderId="11" fillId="7" fontId="44" numFmtId="0" xfId="0" applyAlignment="1" applyBorder="1" applyFont="1">
      <alignment vertical="bottom"/>
    </xf>
    <xf borderId="11" fillId="7" fontId="46" numFmtId="3" xfId="0" applyAlignment="1" applyBorder="1" applyFont="1" applyNumberFormat="1">
      <alignment vertical="bottom"/>
    </xf>
    <xf borderId="11" fillId="7" fontId="50" numFmtId="0" xfId="0" applyAlignment="1" applyBorder="1" applyFont="1">
      <alignment horizontal="center" vertical="bottom"/>
    </xf>
    <xf borderId="11" fillId="7" fontId="14" numFmtId="0" xfId="0" applyAlignment="1" applyBorder="1" applyFont="1">
      <alignment vertical="bottom"/>
    </xf>
    <xf borderId="11" fillId="7" fontId="55" numFmtId="164" xfId="0" applyAlignment="1" applyBorder="1" applyFont="1" applyNumberFormat="1">
      <alignment horizontal="left" readingOrder="0" vertical="bottom"/>
    </xf>
    <xf borderId="11" fillId="7" fontId="56" numFmtId="0" xfId="0" applyAlignment="1" applyBorder="1" applyFont="1">
      <alignment horizontal="left"/>
    </xf>
    <xf borderId="11" fillId="7" fontId="57" numFmtId="0" xfId="0" applyAlignment="1" applyBorder="1" applyFont="1">
      <alignment horizontal="left"/>
    </xf>
    <xf borderId="21" fillId="10" fontId="58" numFmtId="0" xfId="0" applyAlignment="1" applyBorder="1" applyFill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10" fontId="59" numFmtId="0" xfId="0" applyAlignment="1" applyBorder="1" applyFont="1">
      <alignment horizontal="center"/>
    </xf>
    <xf borderId="11" fillId="10" fontId="60" numFmtId="15" xfId="0" applyAlignment="1" applyBorder="1" applyFont="1" applyNumberFormat="1">
      <alignment horizontal="center"/>
    </xf>
    <xf borderId="11" fillId="11" fontId="60" numFmtId="0" xfId="0" applyAlignment="1" applyBorder="1" applyFill="1" applyFont="1">
      <alignment horizontal="center"/>
    </xf>
    <xf borderId="11" fillId="11" fontId="60" numFmtId="3" xfId="0" applyAlignment="1" applyBorder="1" applyFont="1" applyNumberFormat="1">
      <alignment horizontal="center"/>
    </xf>
    <xf borderId="11" fillId="9" fontId="60" numFmtId="15" xfId="0" applyAlignment="1" applyBorder="1" applyFont="1" applyNumberFormat="1">
      <alignment horizontal="center"/>
    </xf>
    <xf borderId="11" fillId="9" fontId="60" numFmtId="0" xfId="0" applyAlignment="1" applyBorder="1" applyFont="1">
      <alignment horizontal="center"/>
    </xf>
    <xf borderId="11" fillId="9" fontId="60" numFmtId="3" xfId="0" applyAlignment="1" applyBorder="1" applyFont="1" applyNumberFormat="1">
      <alignment horizontal="center"/>
    </xf>
    <xf borderId="11" fillId="10" fontId="60" numFmtId="3" xfId="0" applyAlignment="1" applyBorder="1" applyFont="1" applyNumberFormat="1">
      <alignment horizontal="center"/>
    </xf>
    <xf borderId="11" fillId="10" fontId="60" numFmtId="0" xfId="0" applyAlignment="1" applyBorder="1" applyFont="1">
      <alignment horizontal="center"/>
    </xf>
    <xf quotePrefix="1" borderId="11" fillId="11" fontId="60" numFmtId="0" xfId="0" applyAlignment="1" applyBorder="1" applyFont="1">
      <alignment horizontal="center"/>
    </xf>
    <xf quotePrefix="1" borderId="11" fillId="9" fontId="60" numFmtId="0" xfId="0" applyAlignment="1" applyBorder="1" applyFont="1">
      <alignment horizontal="center"/>
    </xf>
    <xf borderId="11" fillId="10" fontId="60" numFmtId="0" xfId="0" applyAlignment="1" applyBorder="1" applyFont="1">
      <alignment horizontal="center" readingOrder="0"/>
    </xf>
    <xf borderId="28" fillId="11" fontId="60" numFmtId="3" xfId="0" applyAlignment="1" applyBorder="1" applyFont="1" applyNumberFormat="1">
      <alignment horizontal="center"/>
    </xf>
    <xf borderId="11" fillId="11" fontId="60" numFmtId="0" xfId="0" applyAlignment="1" applyBorder="1" applyFont="1">
      <alignment horizontal="center" readingOrder="0"/>
    </xf>
    <xf borderId="0" fillId="0" fontId="6" numFmtId="0" xfId="0" applyFont="1"/>
    <xf borderId="11" fillId="9" fontId="60" numFmtId="0" xfId="0" applyBorder="1" applyFont="1"/>
    <xf borderId="29" fillId="10" fontId="58" numFmtId="0" xfId="0" applyAlignment="1" applyBorder="1" applyFont="1">
      <alignment horizontal="center"/>
    </xf>
    <xf borderId="30" fillId="0" fontId="4" numFmtId="0" xfId="0" applyBorder="1" applyFont="1"/>
    <xf borderId="31" fillId="0" fontId="4" numFmtId="0" xfId="0" applyBorder="1" applyFont="1"/>
    <xf borderId="12" fillId="0" fontId="4" numFmtId="0" xfId="0" applyBorder="1" applyFont="1"/>
    <xf borderId="11" fillId="10" fontId="59" numFmtId="0" xfId="0" applyAlignment="1" applyBorder="1" applyFont="1">
      <alignment horizontal="center"/>
    </xf>
    <xf borderId="11" fillId="11" fontId="61" numFmtId="0" xfId="0" applyAlignment="1" applyBorder="1" applyFont="1">
      <alignment horizontal="center"/>
    </xf>
    <xf borderId="32" fillId="12" fontId="46" numFmtId="0" xfId="0" applyBorder="1" applyFill="1" applyFont="1"/>
    <xf borderId="11" fillId="10" fontId="60" numFmtId="0" xfId="0" applyBorder="1" applyFont="1"/>
    <xf borderId="28" fillId="10" fontId="60" numFmtId="0" xfId="0" applyAlignment="1" applyBorder="1" applyFont="1">
      <alignment horizontal="center"/>
    </xf>
    <xf borderId="11" fillId="11" fontId="60" numFmtId="15" xfId="0" applyAlignment="1" applyBorder="1" applyFont="1" applyNumberFormat="1">
      <alignment horizontal="center"/>
    </xf>
    <xf borderId="29" fillId="10" fontId="58" numFmtId="0" xfId="0" applyAlignment="1" applyBorder="1" applyFont="1">
      <alignment horizontal="center" shrinkToFit="0" wrapText="1"/>
    </xf>
    <xf borderId="11" fillId="10" fontId="60" numFmtId="15" xfId="0" applyAlignment="1" applyBorder="1" applyFont="1" applyNumberFormat="1">
      <alignment horizontal="center" vertical="center"/>
    </xf>
    <xf borderId="33" fillId="10" fontId="58" numFmtId="0" xfId="0" applyAlignment="1" applyBorder="1" applyFont="1">
      <alignment horizontal="center" shrinkToFit="0" wrapText="1"/>
    </xf>
    <xf borderId="34" fillId="0" fontId="4" numFmtId="0" xfId="0" applyBorder="1" applyFont="1"/>
    <xf borderId="35" fillId="0" fontId="4" numFmtId="0" xfId="0" applyBorder="1" applyFont="1"/>
    <xf borderId="36" fillId="10" fontId="58" numFmtId="0" xfId="0" applyAlignment="1" applyBorder="1" applyFont="1">
      <alignment shrinkToFit="0" wrapText="1"/>
    </xf>
    <xf borderId="11" fillId="10" fontId="60" numFmtId="0" xfId="0" applyAlignment="1" applyBorder="1" applyFont="1">
      <alignment horizontal="center" shrinkToFit="0" vertical="center" wrapText="1"/>
    </xf>
    <xf borderId="11" fillId="10" fontId="60" numFmtId="0" xfId="0" applyAlignment="1" applyBorder="1" applyFont="1">
      <alignment horizontal="center" vertical="center"/>
    </xf>
    <xf borderId="11" fillId="10" fontId="60" numFmtId="0" xfId="0" applyAlignment="1" applyBorder="1" applyFont="1">
      <alignment vertical="center"/>
    </xf>
    <xf borderId="14" fillId="10" fontId="58" numFmtId="0" xfId="0" applyAlignment="1" applyBorder="1" applyFont="1">
      <alignment horizontal="center" shrinkToFit="0" wrapText="1"/>
    </xf>
    <xf borderId="16" fillId="0" fontId="4" numFmtId="0" xfId="0" applyBorder="1" applyFont="1"/>
    <xf borderId="37" fillId="0" fontId="4" numFmtId="0" xfId="0" applyBorder="1" applyFont="1"/>
    <xf borderId="20" fillId="10" fontId="46" numFmtId="0" xfId="0" applyAlignment="1" applyBorder="1" applyFont="1">
      <alignment horizontal="center" shrinkToFit="0" vertical="top" wrapText="1"/>
    </xf>
    <xf borderId="0" fillId="0" fontId="46" numFmtId="166" xfId="0" applyFont="1" applyNumberFormat="1"/>
    <xf borderId="2" fillId="10" fontId="62" numFmtId="0" xfId="0" applyAlignment="1" applyBorder="1" applyFont="1">
      <alignment horizontal="center" vertical="center"/>
    </xf>
    <xf borderId="11" fillId="0" fontId="59" numFmtId="0" xfId="0" applyAlignment="1" applyBorder="1" applyFont="1">
      <alignment horizontal="center"/>
    </xf>
    <xf borderId="11" fillId="0" fontId="46" numFmtId="164" xfId="0" applyAlignment="1" applyBorder="1" applyFont="1" applyNumberFormat="1">
      <alignment horizontal="center"/>
    </xf>
    <xf borderId="11" fillId="0" fontId="63" numFmtId="0" xfId="0" applyAlignment="1" applyBorder="1" applyFont="1">
      <alignment horizontal="left" shrinkToFit="0" wrapText="1"/>
    </xf>
    <xf borderId="11" fillId="0" fontId="46" numFmtId="0" xfId="0" applyAlignment="1" applyBorder="1" applyFont="1">
      <alignment horizontal="center" vertical="top"/>
    </xf>
    <xf borderId="11" fillId="12" fontId="63" numFmtId="0" xfId="0" applyAlignment="1" applyBorder="1" applyFont="1">
      <alignment horizontal="left" shrinkToFit="0" wrapText="1"/>
    </xf>
    <xf borderId="11" fillId="12" fontId="46" numFmtId="0" xfId="0" applyAlignment="1" applyBorder="1" applyFont="1">
      <alignment horizontal="center" vertical="top"/>
    </xf>
    <xf borderId="38" fillId="12" fontId="63" numFmtId="0" xfId="0" applyAlignment="1" applyBorder="1" applyFont="1">
      <alignment horizontal="center" vertical="top"/>
    </xf>
    <xf borderId="38" fillId="12" fontId="63" numFmtId="0" xfId="0" applyAlignment="1" applyBorder="1" applyFont="1">
      <alignment horizontal="center" vertical="center"/>
    </xf>
    <xf borderId="11" fillId="12" fontId="46" numFmtId="15" xfId="0" applyAlignment="1" applyBorder="1" applyFont="1" applyNumberFormat="1">
      <alignment horizontal="center"/>
    </xf>
    <xf borderId="38" fillId="12" fontId="63" numFmtId="0" xfId="0" applyAlignment="1" applyBorder="1" applyFont="1">
      <alignment vertical="center"/>
    </xf>
    <xf borderId="11" fillId="12" fontId="46" numFmtId="167" xfId="0" applyAlignment="1" applyBorder="1" applyFont="1" applyNumberFormat="1">
      <alignment horizontal="center"/>
    </xf>
    <xf borderId="11" fillId="12" fontId="46" numFmtId="0" xfId="0" applyAlignment="1" applyBorder="1" applyFont="1">
      <alignment horizontal="center" readingOrder="0" vertical="top"/>
    </xf>
    <xf borderId="38" fillId="12" fontId="64" numFmtId="0" xfId="0" applyAlignment="1" applyBorder="1" applyFont="1">
      <alignment vertical="top"/>
    </xf>
    <xf borderId="11" fillId="12" fontId="46" numFmtId="167" xfId="0" applyAlignment="1" applyBorder="1" applyFont="1" applyNumberFormat="1">
      <alignment horizontal="center" vertical="top"/>
    </xf>
    <xf borderId="39" fillId="0" fontId="46" numFmtId="0" xfId="0" applyBorder="1" applyFont="1"/>
    <xf borderId="11" fillId="0" fontId="46" numFmtId="167" xfId="0" applyAlignment="1" applyBorder="1" applyFont="1" applyNumberFormat="1">
      <alignment horizontal="center" vertical="top"/>
    </xf>
    <xf borderId="11" fillId="0" fontId="46" numFmtId="0" xfId="0" applyAlignment="1" applyBorder="1" applyFont="1">
      <alignment horizontal="center" vertical="center"/>
    </xf>
    <xf borderId="37" fillId="0" fontId="65" numFmtId="0" xfId="0" applyAlignment="1" applyBorder="1" applyFont="1">
      <alignment vertical="top"/>
    </xf>
    <xf borderId="38" fillId="12" fontId="63" numFmtId="0" xfId="0" applyAlignment="1" applyBorder="1" applyFont="1">
      <alignment vertical="top"/>
    </xf>
    <xf borderId="38" fillId="12" fontId="63" numFmtId="0" xfId="0" applyAlignment="1" applyBorder="1" applyFont="1">
      <alignment horizontal="left" vertical="top"/>
    </xf>
    <xf borderId="2" fillId="10" fontId="62" numFmtId="0" xfId="0" applyAlignment="1" applyBorder="1" applyFont="1">
      <alignment horizontal="center" shrinkToFit="0" vertical="center" wrapText="1"/>
    </xf>
    <xf borderId="37" fillId="0" fontId="46" numFmtId="0" xfId="0" applyAlignment="1" applyBorder="1" applyFont="1">
      <alignment horizontal="center" vertical="center"/>
    </xf>
    <xf borderId="11" fillId="0" fontId="46" numFmtId="0" xfId="0" applyAlignment="1" applyBorder="1" applyFont="1">
      <alignment horizontal="center" readingOrder="0" vertical="top"/>
    </xf>
    <xf borderId="20" fillId="12" fontId="5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Relationship Id="rId153" Type="http://customschemas.google.com/relationships/workbookmetadata" Target="metadata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0.57"/>
    <col customWidth="1" min="3" max="3" width="26.71"/>
    <col customWidth="1" min="4" max="4" width="29.14"/>
    <col customWidth="1" min="5" max="5" width="35.71"/>
    <col customWidth="1" min="6" max="6" width="26.57"/>
    <col customWidth="1" min="7" max="26" width="9.14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0" t="s">
        <v>7</v>
      </c>
    </row>
    <row r="2">
      <c r="A2" s="16">
        <v>1.0</v>
      </c>
      <c r="B2" s="24" t="s">
        <v>13</v>
      </c>
      <c r="C2" s="30">
        <f>'COCO PAA PRINCESS CRÈME 460G'!E13</f>
        <v>12384</v>
      </c>
      <c r="D2" s="36">
        <f>C2/48</f>
        <v>258</v>
      </c>
      <c r="E2" s="45">
        <f>D2+D3+D4+D5+D6+D7+D8+D9+D10</f>
        <v>1097</v>
      </c>
    </row>
    <row r="3">
      <c r="A3" s="49">
        <f>+A2+1</f>
        <v>2</v>
      </c>
      <c r="B3" s="54" t="s">
        <v>18</v>
      </c>
      <c r="C3" s="57">
        <f>'COCO PAA PRINCESS CRÈME 260G'!E15</f>
        <v>3600</v>
      </c>
      <c r="D3" s="60">
        <f t="shared" ref="D3:D4" si="1">C3/72</f>
        <v>50</v>
      </c>
      <c r="E3" s="61"/>
    </row>
    <row r="4">
      <c r="A4" s="49">
        <f t="shared" ref="A4:A150" si="2">A3+1</f>
        <v>3</v>
      </c>
      <c r="B4" s="54" t="s">
        <v>21</v>
      </c>
      <c r="C4" s="57">
        <f>'COCO PAA PRINCESS CRÈME 150G'!E11</f>
        <v>6408</v>
      </c>
      <c r="D4" s="60">
        <f t="shared" si="1"/>
        <v>89</v>
      </c>
      <c r="E4" s="61"/>
    </row>
    <row r="5">
      <c r="A5" s="49">
        <f t="shared" si="2"/>
        <v>4</v>
      </c>
      <c r="B5" s="54" t="s">
        <v>23</v>
      </c>
      <c r="C5" s="57">
        <f>'BO-16 HAIR FOOD BLEU 225ML'!E14</f>
        <v>6480</v>
      </c>
      <c r="D5" s="60">
        <f>C5/48</f>
        <v>135</v>
      </c>
      <c r="E5" s="61"/>
    </row>
    <row r="6">
      <c r="A6" s="49">
        <f t="shared" si="2"/>
        <v>5</v>
      </c>
      <c r="B6" s="54" t="s">
        <v>25</v>
      </c>
      <c r="C6" s="57">
        <f>'BO-16 HAIR FOOD JAUNE 225ML'!E11</f>
        <v>8832</v>
      </c>
      <c r="D6" s="60">
        <f t="shared" ref="D6:D7" si="3">C6/48</f>
        <v>184</v>
      </c>
      <c r="E6" s="61"/>
    </row>
    <row r="7">
      <c r="A7" s="49">
        <f t="shared" si="2"/>
        <v>6</v>
      </c>
      <c r="B7" s="54" t="s">
        <v>29</v>
      </c>
      <c r="C7" s="57">
        <f>'PARFUME INTENSE 100ML'!E15</f>
        <v>7536</v>
      </c>
      <c r="D7" s="60">
        <f t="shared" si="3"/>
        <v>157</v>
      </c>
      <c r="E7" s="61"/>
    </row>
    <row r="8">
      <c r="A8" s="49">
        <f t="shared" si="2"/>
        <v>7</v>
      </c>
      <c r="B8" s="54" t="s">
        <v>31</v>
      </c>
      <c r="C8" s="57">
        <f>'PARFUME LEGEND 100ML'!E16</f>
        <v>3600</v>
      </c>
      <c r="D8" s="71">
        <f>C8/48</f>
        <v>75</v>
      </c>
      <c r="E8" s="61"/>
    </row>
    <row r="9">
      <c r="A9" s="49">
        <f t="shared" si="2"/>
        <v>8</v>
      </c>
      <c r="B9" s="54" t="s">
        <v>35</v>
      </c>
      <c r="C9" s="57">
        <f>'PARFUME BLOSSOM 100ML'!E20</f>
        <v>3600</v>
      </c>
      <c r="D9" s="60">
        <f>C9/48</f>
        <v>75</v>
      </c>
      <c r="E9" s="61"/>
    </row>
    <row r="10">
      <c r="A10" s="49">
        <f t="shared" si="2"/>
        <v>9</v>
      </c>
      <c r="B10" s="54" t="s">
        <v>36</v>
      </c>
      <c r="C10" s="57">
        <f>'PARFUME OUD 100ML'!E25</f>
        <v>3552</v>
      </c>
      <c r="D10" s="60">
        <f>C10/48</f>
        <v>74</v>
      </c>
      <c r="E10" s="61"/>
    </row>
    <row r="11">
      <c r="A11" s="77">
        <f t="shared" si="2"/>
        <v>10</v>
      </c>
      <c r="B11" s="79" t="s">
        <v>37</v>
      </c>
      <c r="C11" s="81">
        <f>'PRINCESS CREAM C.B M S 260ML '!E22</f>
        <v>0</v>
      </c>
      <c r="D11" s="83">
        <f t="shared" ref="D11:D12" si="4">C11/72</f>
        <v>0</v>
      </c>
      <c r="E11" s="6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49">
        <f t="shared" si="2"/>
        <v>11</v>
      </c>
      <c r="B12" s="54" t="s">
        <v>39</v>
      </c>
      <c r="C12" s="57">
        <f>'PRINCESS CREAM C.B S S 150ML '!E34</f>
        <v>0</v>
      </c>
      <c r="D12" s="60">
        <f t="shared" si="4"/>
        <v>0</v>
      </c>
      <c r="E12" s="85"/>
    </row>
    <row r="13">
      <c r="A13" s="49">
        <f t="shared" si="2"/>
        <v>12</v>
      </c>
      <c r="B13" s="54" t="s">
        <v>41</v>
      </c>
      <c r="C13" s="57">
        <f>' CARRO PAA PRINCESS B S 460ML '!E27</f>
        <v>0</v>
      </c>
      <c r="D13" s="49">
        <f>C13/48</f>
        <v>0</v>
      </c>
    </row>
    <row r="14">
      <c r="A14" s="49">
        <f t="shared" si="2"/>
        <v>13</v>
      </c>
      <c r="B14" s="54" t="s">
        <v>42</v>
      </c>
      <c r="C14" s="57">
        <f>' CARRO PAA PRINCESS M S 260ML '!E13</f>
        <v>0</v>
      </c>
      <c r="D14" s="49">
        <f t="shared" ref="D14:D15" si="5">C14/72</f>
        <v>0</v>
      </c>
    </row>
    <row r="15">
      <c r="A15" s="49">
        <f t="shared" si="2"/>
        <v>14</v>
      </c>
      <c r="B15" s="54" t="s">
        <v>43</v>
      </c>
      <c r="C15" s="57">
        <f>'CARRO PAA PRINCESS S S 150ML '!E14</f>
        <v>0</v>
      </c>
      <c r="D15" s="49">
        <f t="shared" si="5"/>
        <v>0</v>
      </c>
    </row>
    <row r="16">
      <c r="A16" s="49">
        <f t="shared" si="2"/>
        <v>15</v>
      </c>
      <c r="B16" s="54" t="s">
        <v>44</v>
      </c>
      <c r="C16" s="57">
        <f>'CARRO PAA LOTION B S 400ML '!E8</f>
        <v>0</v>
      </c>
      <c r="D16" s="49">
        <f>C16/48</f>
        <v>0</v>
      </c>
    </row>
    <row r="17">
      <c r="A17" s="49">
        <f t="shared" si="2"/>
        <v>16</v>
      </c>
      <c r="B17" s="54" t="s">
        <v>45</v>
      </c>
      <c r="C17" s="57">
        <f>'CARRO PAA LOTION S S 260ML '!E11</f>
        <v>0</v>
      </c>
      <c r="D17" s="49">
        <f t="shared" ref="D17:D150" si="6">C17/60</f>
        <v>0</v>
      </c>
    </row>
    <row r="18">
      <c r="A18" s="49">
        <f t="shared" si="2"/>
        <v>17</v>
      </c>
      <c r="B18" s="54" t="s">
        <v>46</v>
      </c>
      <c r="C18" s="57">
        <f>'KLEANZ HAND SANITIZER 100 ML '!E8</f>
        <v>0</v>
      </c>
      <c r="D18" s="49">
        <f t="shared" si="6"/>
        <v>0</v>
      </c>
    </row>
    <row r="19">
      <c r="A19" s="49">
        <f t="shared" si="2"/>
        <v>18</v>
      </c>
      <c r="B19" s="54" t="s">
        <v>47</v>
      </c>
      <c r="C19" s="57">
        <f>'KLEANZ HAND SANITIZER 50 ML'!E15</f>
        <v>0</v>
      </c>
      <c r="D19" s="49">
        <f t="shared" si="6"/>
        <v>0</v>
      </c>
    </row>
    <row r="20">
      <c r="A20" s="49">
        <f t="shared" si="2"/>
        <v>19</v>
      </c>
      <c r="B20" s="54" t="s">
        <v>48</v>
      </c>
      <c r="C20" s="57">
        <f>'HABIBA PDE B S 250 ML'!E10</f>
        <v>0</v>
      </c>
      <c r="D20" s="49">
        <f t="shared" si="6"/>
        <v>0</v>
      </c>
    </row>
    <row r="21" ht="15.75" customHeight="1">
      <c r="A21" s="49">
        <f t="shared" si="2"/>
        <v>20</v>
      </c>
      <c r="B21" s="54" t="s">
        <v>49</v>
      </c>
      <c r="C21" s="57">
        <f>'HABIBA PDE S S 150 ML'!E7</f>
        <v>0</v>
      </c>
      <c r="D21" s="49">
        <f t="shared" si="6"/>
        <v>0</v>
      </c>
    </row>
    <row r="22" ht="15.75" customHeight="1">
      <c r="A22" s="49">
        <f t="shared" si="2"/>
        <v>21</v>
      </c>
      <c r="B22" s="54" t="s">
        <v>50</v>
      </c>
      <c r="C22" s="57">
        <f>'HABIBA SHEA BUTTER PDE B S 250'!E13</f>
        <v>0</v>
      </c>
      <c r="D22" s="49">
        <f t="shared" si="6"/>
        <v>0</v>
      </c>
    </row>
    <row r="23" ht="15.75" customHeight="1">
      <c r="A23" s="49">
        <f t="shared" si="2"/>
        <v>22</v>
      </c>
      <c r="B23" s="54" t="s">
        <v>51</v>
      </c>
      <c r="C23" s="57">
        <f>'STYLE UP 3 IN 1 SHOWER GEL ICE '!E17</f>
        <v>0</v>
      </c>
      <c r="D23" s="49">
        <f t="shared" si="6"/>
        <v>0</v>
      </c>
    </row>
    <row r="24" ht="15.75" customHeight="1">
      <c r="A24" s="49">
        <f t="shared" si="2"/>
        <v>23</v>
      </c>
      <c r="B24" s="54" t="s">
        <v>52</v>
      </c>
      <c r="C24" s="57">
        <f>'STYLE UP 3 IN1 SHOWER GEL FRESH'!E12</f>
        <v>0</v>
      </c>
      <c r="D24" s="49">
        <f t="shared" si="6"/>
        <v>0</v>
      </c>
    </row>
    <row r="25" ht="15.75" customHeight="1">
      <c r="A25" s="49">
        <f t="shared" si="2"/>
        <v>24</v>
      </c>
      <c r="B25" s="54" t="s">
        <v>53</v>
      </c>
      <c r="C25" s="57">
        <f>'STYLE UP 3 IN1 SHOWER GEL SPORT'!E13</f>
        <v>0</v>
      </c>
      <c r="D25" s="49">
        <f t="shared" si="6"/>
        <v>0</v>
      </c>
    </row>
    <row r="26" ht="15.75" customHeight="1">
      <c r="A26" s="49">
        <f t="shared" si="2"/>
        <v>25</v>
      </c>
      <c r="B26" s="54" t="s">
        <v>54</v>
      </c>
      <c r="C26" s="57">
        <f>'STYLE UP SHOWER GEL FOCUS 1050'!E30</f>
        <v>0</v>
      </c>
      <c r="D26" s="49">
        <f t="shared" si="6"/>
        <v>0</v>
      </c>
    </row>
    <row r="27" ht="15.75" customHeight="1">
      <c r="A27" s="49">
        <f t="shared" si="2"/>
        <v>26</v>
      </c>
      <c r="B27" s="54" t="s">
        <v>55</v>
      </c>
      <c r="C27" s="57">
        <f>'STYLE UP SHOWER GEL SPORT 1050'!E15</f>
        <v>0</v>
      </c>
      <c r="D27" s="49">
        <f t="shared" si="6"/>
        <v>0</v>
      </c>
    </row>
    <row r="28" ht="15.75" customHeight="1">
      <c r="A28" s="49">
        <f t="shared" si="2"/>
        <v>27</v>
      </c>
      <c r="B28" s="54" t="s">
        <v>56</v>
      </c>
      <c r="C28" s="57">
        <f>'STYLEUP SHOWER GEL STAMINA 1050'!E15</f>
        <v>0</v>
      </c>
      <c r="D28" s="49">
        <f t="shared" si="6"/>
        <v>0</v>
      </c>
    </row>
    <row r="29" ht="15.75" customHeight="1">
      <c r="A29" s="49">
        <f t="shared" si="2"/>
        <v>28</v>
      </c>
      <c r="B29" s="54" t="s">
        <v>57</v>
      </c>
      <c r="C29" s="57">
        <f>'STYLE UP SHOWER GEL POWER 1050'!E14</f>
        <v>0</v>
      </c>
      <c r="D29" s="49">
        <f t="shared" si="6"/>
        <v>0</v>
      </c>
    </row>
    <row r="30" ht="15.75" customHeight="1">
      <c r="A30" s="49">
        <f t="shared" si="2"/>
        <v>29</v>
      </c>
      <c r="B30" s="54" t="s">
        <v>58</v>
      </c>
      <c r="C30" s="57">
        <f>'STYLE UP SHOWER GEL RELAX 1050'!E14</f>
        <v>0</v>
      </c>
      <c r="D30" s="49">
        <f t="shared" si="6"/>
        <v>0</v>
      </c>
    </row>
    <row r="31" ht="15.75" customHeight="1">
      <c r="A31" s="49">
        <f t="shared" si="2"/>
        <v>30</v>
      </c>
      <c r="B31" s="54" t="s">
        <v>59</v>
      </c>
      <c r="C31" s="57">
        <f>'BO-16 HERBAL CARE 280GR '!E11</f>
        <v>0</v>
      </c>
      <c r="D31" s="49">
        <f t="shared" si="6"/>
        <v>0</v>
      </c>
    </row>
    <row r="32" ht="15.75" customHeight="1">
      <c r="A32" s="49">
        <f t="shared" si="2"/>
        <v>31</v>
      </c>
      <c r="B32" s="54" t="s">
        <v>60</v>
      </c>
      <c r="C32" s="57">
        <f>'BO-16 HAIR FOOD VITAMINS 225ML'!E14</f>
        <v>0</v>
      </c>
      <c r="D32" s="49">
        <f t="shared" si="6"/>
        <v>0</v>
      </c>
    </row>
    <row r="33" ht="15.75" customHeight="1">
      <c r="A33" s="49">
        <f t="shared" si="2"/>
        <v>32</v>
      </c>
      <c r="B33" s="54" t="s">
        <v>61</v>
      </c>
      <c r="C33" s="57">
        <f>'BO-16 HAIR FOOD 225ML '!E12</f>
        <v>0</v>
      </c>
      <c r="D33" s="49">
        <f t="shared" si="6"/>
        <v>0</v>
      </c>
    </row>
    <row r="34" ht="15.75" customHeight="1">
      <c r="A34" s="49">
        <f t="shared" si="2"/>
        <v>33</v>
      </c>
      <c r="B34" s="54" t="s">
        <v>62</v>
      </c>
      <c r="C34" s="57">
        <f>'KLEANZ BODY WASH ALOE VERA 750'!E17</f>
        <v>0</v>
      </c>
      <c r="D34" s="49">
        <f t="shared" si="6"/>
        <v>0</v>
      </c>
    </row>
    <row r="35" ht="15.75" customHeight="1">
      <c r="A35" s="49">
        <f t="shared" si="2"/>
        <v>34</v>
      </c>
      <c r="B35" s="54" t="s">
        <v>63</v>
      </c>
      <c r="C35" s="57">
        <f>'KLEANZ BODY WASH STRAWBER 750ML'!E9</f>
        <v>0</v>
      </c>
      <c r="D35" s="49">
        <f t="shared" si="6"/>
        <v>0</v>
      </c>
    </row>
    <row r="36" ht="15.75" customHeight="1">
      <c r="A36" s="49">
        <f t="shared" si="2"/>
        <v>35</v>
      </c>
      <c r="B36" s="54" t="s">
        <v>64</v>
      </c>
      <c r="C36" s="57">
        <f>'KLEANZ BODYWASH ANTIBACTIRAL750'!E13</f>
        <v>0</v>
      </c>
      <c r="D36" s="49">
        <f t="shared" si="6"/>
        <v>0</v>
      </c>
    </row>
    <row r="37" ht="15.75" customHeight="1">
      <c r="A37" s="49">
        <f t="shared" si="2"/>
        <v>36</v>
      </c>
      <c r="B37" s="54" t="s">
        <v>65</v>
      </c>
      <c r="C37" s="57">
        <f>'KLEANZ BODY WASH VANILLA 750'!E11</f>
        <v>0</v>
      </c>
      <c r="D37" s="49">
        <f t="shared" si="6"/>
        <v>0</v>
      </c>
    </row>
    <row r="38" ht="15.75" customHeight="1">
      <c r="A38" s="49">
        <f t="shared" si="2"/>
        <v>37</v>
      </c>
      <c r="B38" s="54" t="s">
        <v>66</v>
      </c>
      <c r="C38" s="57">
        <f>'KLEANZ BODY COCONUT OIL 750ML'!E15</f>
        <v>0</v>
      </c>
      <c r="D38" s="49">
        <f t="shared" si="6"/>
        <v>0</v>
      </c>
    </row>
    <row r="39" ht="15.75" customHeight="1">
      <c r="A39" s="49">
        <f t="shared" si="2"/>
        <v>38</v>
      </c>
      <c r="B39" s="94" t="s">
        <v>67</v>
      </c>
      <c r="C39" s="57">
        <f>'CLASSIC HAIR PDE S-S 125 ML '!E9</f>
        <v>0</v>
      </c>
      <c r="D39" s="49">
        <f t="shared" si="6"/>
        <v>0</v>
      </c>
    </row>
    <row r="40" ht="15.75" customHeight="1">
      <c r="A40" s="49">
        <f t="shared" si="2"/>
        <v>39</v>
      </c>
      <c r="B40" s="94" t="s">
        <v>68</v>
      </c>
      <c r="C40" s="57">
        <f>'CLASSIC HAIR PDE B-S 300 ML '!E19</f>
        <v>0</v>
      </c>
      <c r="D40" s="49">
        <f t="shared" si="6"/>
        <v>0</v>
      </c>
    </row>
    <row r="41" ht="15.75" customHeight="1">
      <c r="A41" s="49">
        <f t="shared" si="2"/>
        <v>40</v>
      </c>
      <c r="B41" s="95" t="s">
        <v>69</v>
      </c>
      <c r="C41" s="57">
        <f>'LAIT NATURE CLAIRE 250ML'!E10</f>
        <v>0</v>
      </c>
      <c r="D41" s="49">
        <f t="shared" si="6"/>
        <v>0</v>
      </c>
    </row>
    <row r="42" ht="15.75" customHeight="1">
      <c r="A42" s="49">
        <f t="shared" si="2"/>
        <v>41</v>
      </c>
      <c r="B42" s="95" t="s">
        <v>70</v>
      </c>
      <c r="C42" s="57">
        <f>'LAIT NATURE CLAIRE 500ML'!E9</f>
        <v>0</v>
      </c>
      <c r="D42" s="49">
        <f t="shared" si="6"/>
        <v>0</v>
      </c>
    </row>
    <row r="43" ht="15.75" customHeight="1">
      <c r="A43" s="49">
        <f t="shared" si="2"/>
        <v>42</v>
      </c>
      <c r="B43" s="100" t="s">
        <v>71</v>
      </c>
      <c r="C43" s="49">
        <f>'GEL D.SKINS BABY CARE'!E8</f>
        <v>0</v>
      </c>
      <c r="D43" s="49">
        <f t="shared" si="6"/>
        <v>0</v>
      </c>
    </row>
    <row r="44" ht="15.75" customHeight="1">
      <c r="A44" s="49">
        <f t="shared" si="2"/>
        <v>43</v>
      </c>
      <c r="B44" s="100" t="s">
        <v>72</v>
      </c>
      <c r="C44" s="49">
        <f>'LAIT SKIN BABYCARE 750 ML '!E8</f>
        <v>0</v>
      </c>
      <c r="D44" s="49">
        <f t="shared" si="6"/>
        <v>0</v>
      </c>
    </row>
    <row r="45" ht="15.75" customHeight="1">
      <c r="A45" s="49">
        <f t="shared" si="2"/>
        <v>44</v>
      </c>
      <c r="B45" s="100" t="s">
        <v>73</v>
      </c>
      <c r="C45" s="49">
        <f>'LAIT SKINS GOLD 210 ML'!E14</f>
        <v>0</v>
      </c>
      <c r="D45" s="49">
        <f t="shared" si="6"/>
        <v>0</v>
      </c>
    </row>
    <row r="46" ht="15.75" customHeight="1">
      <c r="A46" s="49">
        <f t="shared" si="2"/>
        <v>45</v>
      </c>
      <c r="B46" s="100" t="s">
        <v>74</v>
      </c>
      <c r="C46" s="49">
        <f>'EAU DE BEBE SKINS 535 ML'!E12</f>
        <v>0</v>
      </c>
      <c r="D46" s="49">
        <f t="shared" si="6"/>
        <v>0</v>
      </c>
    </row>
    <row r="47" ht="15.75" customHeight="1">
      <c r="A47" s="49">
        <f t="shared" si="2"/>
        <v>46</v>
      </c>
      <c r="B47" s="100" t="s">
        <v>75</v>
      </c>
      <c r="C47" s="49">
        <f>'CREME CH. SKINS BABY 150GRS'!E12</f>
        <v>0</v>
      </c>
      <c r="D47" s="49">
        <f t="shared" si="6"/>
        <v>0</v>
      </c>
    </row>
    <row r="48" ht="15.75" customHeight="1">
      <c r="A48" s="49">
        <f t="shared" si="2"/>
        <v>47</v>
      </c>
      <c r="B48" s="100" t="s">
        <v>76</v>
      </c>
      <c r="C48" s="49">
        <f>'CREME NAT.CLAIRE 150 GRS'!E8</f>
        <v>0</v>
      </c>
      <c r="D48" s="49">
        <f t="shared" si="6"/>
        <v>0</v>
      </c>
    </row>
    <row r="49" ht="15.75" customHeight="1">
      <c r="A49" s="49">
        <f t="shared" si="2"/>
        <v>48</v>
      </c>
      <c r="B49" s="100" t="s">
        <v>77</v>
      </c>
      <c r="C49" s="49">
        <f>'CREME NAT.CLAIRE 300ML'!E7</f>
        <v>0</v>
      </c>
      <c r="D49" s="49">
        <f t="shared" si="6"/>
        <v>0</v>
      </c>
    </row>
    <row r="50" ht="15.75" customHeight="1">
      <c r="A50" s="49">
        <f t="shared" si="2"/>
        <v>49</v>
      </c>
      <c r="B50" s="100" t="s">
        <v>78</v>
      </c>
      <c r="C50" s="49">
        <f>'LIQ.VAISS.CLEANOL 750ML MIX'!E8</f>
        <v>0</v>
      </c>
      <c r="D50" s="49">
        <f t="shared" si="6"/>
        <v>0</v>
      </c>
    </row>
    <row r="51" ht="15.75" customHeight="1">
      <c r="A51" s="49">
        <f t="shared" si="2"/>
        <v>50</v>
      </c>
      <c r="B51" s="100" t="s">
        <v>79</v>
      </c>
      <c r="C51" s="49">
        <f>'LOT SKINS BABY CARE'!E7</f>
        <v>0</v>
      </c>
      <c r="D51" s="49">
        <f t="shared" si="6"/>
        <v>0</v>
      </c>
    </row>
    <row r="52" ht="15.75" customHeight="1">
      <c r="A52" s="49">
        <f t="shared" si="2"/>
        <v>51</v>
      </c>
      <c r="B52" s="100" t="s">
        <v>80</v>
      </c>
      <c r="C52" s="49">
        <f>'LAIT SKINS 225ML'!E15</f>
        <v>0</v>
      </c>
      <c r="D52" s="49">
        <f t="shared" si="6"/>
        <v>0</v>
      </c>
    </row>
    <row r="53" ht="15.75" customHeight="1">
      <c r="A53" s="49">
        <f t="shared" si="2"/>
        <v>52</v>
      </c>
      <c r="B53" s="100" t="s">
        <v>81</v>
      </c>
      <c r="C53" s="49">
        <f>'LAIT SKINS 400ML'!E14</f>
        <v>0</v>
      </c>
      <c r="D53" s="49">
        <f t="shared" si="6"/>
        <v>0</v>
      </c>
    </row>
    <row r="54" ht="15.75" customHeight="1">
      <c r="A54" s="49">
        <f t="shared" si="2"/>
        <v>53</v>
      </c>
      <c r="B54" s="100" t="s">
        <v>82</v>
      </c>
      <c r="C54" s="49">
        <f>'SAV.NAT.CLAIRE 400GRS CARROT'!E13</f>
        <v>0</v>
      </c>
      <c r="D54" s="49">
        <f t="shared" si="6"/>
        <v>0</v>
      </c>
    </row>
    <row r="55" ht="15.75" customHeight="1">
      <c r="A55" s="49">
        <f t="shared" si="2"/>
        <v>54</v>
      </c>
      <c r="B55" s="106" t="s">
        <v>83</v>
      </c>
      <c r="C55" s="49">
        <f>'SAV.NAT.CLAIRE 400GRS CITRON '!E10</f>
        <v>0</v>
      </c>
      <c r="D55" s="49">
        <f t="shared" si="6"/>
        <v>0</v>
      </c>
    </row>
    <row r="56" ht="15.75" customHeight="1">
      <c r="A56" s="49">
        <f t="shared" si="2"/>
        <v>55</v>
      </c>
      <c r="B56" s="100" t="s">
        <v>84</v>
      </c>
      <c r="C56" s="49">
        <f>'SAV.NAT.CLAIRE 400GRS '!E10</f>
        <v>0</v>
      </c>
      <c r="D56" s="49">
        <f t="shared" si="6"/>
        <v>0</v>
      </c>
    </row>
    <row r="57" ht="15.75" customHeight="1">
      <c r="A57" s="49">
        <f t="shared" si="2"/>
        <v>56</v>
      </c>
      <c r="B57" s="100" t="s">
        <v>85</v>
      </c>
      <c r="C57" s="49">
        <f>'SAV.NAT.CLAIRE 400GR COCOA'!E13</f>
        <v>0</v>
      </c>
      <c r="D57" s="49">
        <f t="shared" si="6"/>
        <v>0</v>
      </c>
    </row>
    <row r="58" ht="15.75" customHeight="1">
      <c r="A58" s="49">
        <f t="shared" si="2"/>
        <v>57</v>
      </c>
      <c r="B58" s="100" t="s">
        <v>86</v>
      </c>
      <c r="C58" s="49">
        <f>'SAV.NAT.CLAIRE 400GRS ARGAN'!E6</f>
        <v>0</v>
      </c>
      <c r="D58" s="49">
        <f t="shared" si="6"/>
        <v>0</v>
      </c>
    </row>
    <row r="59" ht="15.75" customHeight="1">
      <c r="A59" s="49">
        <f t="shared" si="2"/>
        <v>58</v>
      </c>
      <c r="B59" s="100" t="s">
        <v>87</v>
      </c>
      <c r="C59" s="49">
        <f>'SAV.NAT.CLAIRE 400GRS MIEL'!E8</f>
        <v>0</v>
      </c>
      <c r="D59" s="49">
        <f t="shared" si="6"/>
        <v>0</v>
      </c>
    </row>
    <row r="60" ht="15.75" customHeight="1">
      <c r="A60" s="49">
        <f t="shared" si="2"/>
        <v>59</v>
      </c>
      <c r="B60" s="100" t="s">
        <v>88</v>
      </c>
      <c r="C60" s="49">
        <f>'SAV.NAT.CLAIRE 400GRS PAPAYE'!E8</f>
        <v>0</v>
      </c>
      <c r="D60" s="49">
        <f t="shared" si="6"/>
        <v>0</v>
      </c>
    </row>
    <row r="61" ht="15.75" customHeight="1">
      <c r="A61" s="49">
        <f t="shared" si="2"/>
        <v>60</v>
      </c>
      <c r="B61" s="100" t="s">
        <v>89</v>
      </c>
      <c r="C61" s="49">
        <f>'SAV.NAT.CLAIRE 400GRS AVOCAT '!E7</f>
        <v>0</v>
      </c>
      <c r="D61" s="49">
        <f t="shared" si="6"/>
        <v>0</v>
      </c>
    </row>
    <row r="62" ht="15.75" customHeight="1">
      <c r="A62" s="49">
        <f t="shared" si="2"/>
        <v>61</v>
      </c>
      <c r="B62" s="100" t="s">
        <v>90</v>
      </c>
      <c r="C62" s="49">
        <f>'SAV.NAT.CLAIRE 400GRS LAIT '!E14</f>
        <v>0</v>
      </c>
      <c r="D62" s="49">
        <f t="shared" si="6"/>
        <v>0</v>
      </c>
    </row>
    <row r="63" ht="15.75" customHeight="1">
      <c r="A63" s="49">
        <f t="shared" si="2"/>
        <v>62</v>
      </c>
      <c r="B63" s="100" t="s">
        <v>91</v>
      </c>
      <c r="C63" s="49">
        <f>'SAV.NAT.CLAIRE 400GRS OLIVE'!E13</f>
        <v>0</v>
      </c>
      <c r="D63" s="49">
        <f t="shared" si="6"/>
        <v>0</v>
      </c>
    </row>
    <row r="64" ht="15.75" customHeight="1">
      <c r="A64" s="49">
        <f t="shared" si="2"/>
        <v>63</v>
      </c>
      <c r="B64" s="106" t="s">
        <v>92</v>
      </c>
      <c r="C64" s="49">
        <v>0.0</v>
      </c>
      <c r="D64" s="49">
        <f t="shared" si="6"/>
        <v>0</v>
      </c>
    </row>
    <row r="65" ht="15.75" customHeight="1">
      <c r="A65" s="49">
        <f t="shared" si="2"/>
        <v>64</v>
      </c>
      <c r="B65" s="100" t="s">
        <v>93</v>
      </c>
      <c r="C65" s="49">
        <f>'NATURAL PAPAYA &amp; CARROT SOAP '!E16</f>
        <v>0</v>
      </c>
      <c r="D65" s="49">
        <f t="shared" si="6"/>
        <v>0</v>
      </c>
    </row>
    <row r="66" ht="15.75" customHeight="1">
      <c r="A66" s="49">
        <f t="shared" si="2"/>
        <v>65</v>
      </c>
      <c r="B66" s="100" t="s">
        <v>94</v>
      </c>
      <c r="C66" s="49">
        <f>'KOJIC WHITE 4 IN 1 SOAP 160GM'!E13</f>
        <v>0</v>
      </c>
      <c r="D66" s="49">
        <f t="shared" si="6"/>
        <v>0</v>
      </c>
    </row>
    <row r="67" ht="15.75" customHeight="1">
      <c r="A67" s="49">
        <f t="shared" si="2"/>
        <v>66</v>
      </c>
      <c r="B67" s="100" t="s">
        <v>95</v>
      </c>
      <c r="C67" s="49">
        <f>'PAPAYA HONEY LEMON SOAP 160GM'!E12</f>
        <v>0</v>
      </c>
      <c r="D67" s="49">
        <f t="shared" si="6"/>
        <v>0</v>
      </c>
    </row>
    <row r="68" ht="15.75" customHeight="1">
      <c r="A68" s="49">
        <f t="shared" si="2"/>
        <v>67</v>
      </c>
      <c r="B68" s="100" t="s">
        <v>96</v>
      </c>
      <c r="C68" s="49">
        <f>'GLUTA CLEAR &amp; GLUTA SOAP 160GM'!E12</f>
        <v>0</v>
      </c>
      <c r="D68" s="49">
        <f t="shared" si="6"/>
        <v>0</v>
      </c>
    </row>
    <row r="69" ht="15.75" customHeight="1">
      <c r="A69" s="49">
        <f t="shared" si="2"/>
        <v>68</v>
      </c>
      <c r="B69" s="100" t="s">
        <v>97</v>
      </c>
      <c r="C69" s="49">
        <f>'CALLAGEN &amp; GLUTA SOAP 160GM'!E12</f>
        <v>0</v>
      </c>
      <c r="D69" s="49">
        <f t="shared" si="6"/>
        <v>0</v>
      </c>
    </row>
    <row r="70" ht="15.75" customHeight="1">
      <c r="A70" s="49">
        <f t="shared" si="2"/>
        <v>69</v>
      </c>
      <c r="B70" s="100" t="s">
        <v>98</v>
      </c>
      <c r="C70" s="49">
        <f>'Gluta Tomato Carrot Soap 135gm'!E13</f>
        <v>0</v>
      </c>
      <c r="D70" s="49">
        <f t="shared" si="6"/>
        <v>0</v>
      </c>
    </row>
    <row r="71" ht="15.75" customHeight="1">
      <c r="A71" s="49">
        <f t="shared" si="2"/>
        <v>70</v>
      </c>
      <c r="B71" s="100" t="s">
        <v>99</v>
      </c>
      <c r="C71" s="49">
        <f>'KOJIC C EXTRACT GLUTA SOAP135GM'!E12</f>
        <v>0</v>
      </c>
      <c r="D71" s="49">
        <f t="shared" si="6"/>
        <v>0</v>
      </c>
    </row>
    <row r="72" ht="15.75" customHeight="1">
      <c r="A72" s="49">
        <f t="shared" si="2"/>
        <v>71</v>
      </c>
      <c r="B72" s="100" t="s">
        <v>100</v>
      </c>
      <c r="C72" s="49">
        <f>'AX1 Kojic Papaya  Soap 135gm '!E13</f>
        <v>0</v>
      </c>
      <c r="D72" s="49">
        <f t="shared" si="6"/>
        <v>0</v>
      </c>
    </row>
    <row r="73" ht="15.75" customHeight="1">
      <c r="A73" s="49">
        <f t="shared" si="2"/>
        <v>72</v>
      </c>
      <c r="B73" s="100" t="s">
        <v>101</v>
      </c>
      <c r="C73" s="49">
        <f>'KOJIC GALLAGEN GLUTA SOAP 135GM'!E12</f>
        <v>0</v>
      </c>
      <c r="D73" s="49">
        <f t="shared" si="6"/>
        <v>0</v>
      </c>
    </row>
    <row r="74" ht="15.75" customHeight="1">
      <c r="A74" s="49">
        <f t="shared" si="2"/>
        <v>73</v>
      </c>
      <c r="B74" s="100" t="s">
        <v>102</v>
      </c>
      <c r="C74" s="49">
        <f>'KOJIC GLUTA PLUS SOAP 135GM'!E13</f>
        <v>0</v>
      </c>
      <c r="D74" s="49">
        <f t="shared" si="6"/>
        <v>0</v>
      </c>
    </row>
    <row r="75" ht="15.75" customHeight="1">
      <c r="A75" s="49">
        <f t="shared" si="2"/>
        <v>74</v>
      </c>
      <c r="B75" s="100" t="s">
        <v>103</v>
      </c>
      <c r="C75" s="49">
        <f>'4 IN 1 GLUA COLLAGEN SOAP 160GM'!E13</f>
        <v>0</v>
      </c>
      <c r="D75" s="49">
        <f t="shared" si="6"/>
        <v>0</v>
      </c>
    </row>
    <row r="76" ht="15.75" customHeight="1">
      <c r="A76" s="49">
        <f t="shared" si="2"/>
        <v>75</v>
      </c>
      <c r="B76" s="100" t="s">
        <v>104</v>
      </c>
      <c r="C76" s="49">
        <f>'NANO KOJIC WHITE X2 SOAP 160GM'!E13</f>
        <v>0</v>
      </c>
      <c r="D76" s="49">
        <f t="shared" si="6"/>
        <v>0</v>
      </c>
    </row>
    <row r="77" ht="15.75" customHeight="1">
      <c r="A77" s="49">
        <f t="shared" si="2"/>
        <v>76</v>
      </c>
      <c r="B77" s="100" t="s">
        <v>105</v>
      </c>
      <c r="C77" s="49">
        <f>' Aloevera Collagen Soap 160gm'!E13</f>
        <v>0</v>
      </c>
      <c r="D77" s="49">
        <f t="shared" si="6"/>
        <v>0</v>
      </c>
    </row>
    <row r="78" ht="15.75" customHeight="1">
      <c r="A78" s="49">
        <f t="shared" si="2"/>
        <v>77</v>
      </c>
      <c r="B78" s="100" t="s">
        <v>106</v>
      </c>
      <c r="C78" s="49">
        <f>'Kojic Rice Milk Soap 160gm'!E13</f>
        <v>0</v>
      </c>
      <c r="D78" s="49">
        <f t="shared" si="6"/>
        <v>0</v>
      </c>
    </row>
    <row r="79" ht="15.75" customHeight="1">
      <c r="A79" s="49">
        <f t="shared" si="2"/>
        <v>78</v>
      </c>
      <c r="B79" s="100" t="s">
        <v>107</v>
      </c>
      <c r="C79" s="49">
        <f>'Kojic Gluta C&amp;E Soap 160gm'!E13</f>
        <v>0</v>
      </c>
      <c r="D79" s="49">
        <f t="shared" si="6"/>
        <v>0</v>
      </c>
    </row>
    <row r="80" ht="15.75" customHeight="1">
      <c r="A80" s="49">
        <f t="shared" si="2"/>
        <v>79</v>
      </c>
      <c r="B80" s="100" t="s">
        <v>108</v>
      </c>
      <c r="C80" s="49">
        <f>'Kojic Tomato Gluta Soap 160gm'!E13</f>
        <v>0</v>
      </c>
      <c r="D80" s="49">
        <f t="shared" si="6"/>
        <v>0</v>
      </c>
    </row>
    <row r="81" ht="15.75" customHeight="1">
      <c r="A81" s="49">
        <f t="shared" si="2"/>
        <v>80</v>
      </c>
      <c r="B81" s="100" t="s">
        <v>109</v>
      </c>
      <c r="C81" s="49">
        <f>'Kojic Super White Soap 160gm'!E13</f>
        <v>0</v>
      </c>
      <c r="D81" s="49">
        <f t="shared" si="6"/>
        <v>0</v>
      </c>
    </row>
    <row r="82" ht="15.75" customHeight="1">
      <c r="A82" s="49">
        <f t="shared" si="2"/>
        <v>81</v>
      </c>
      <c r="B82" s="100" t="s">
        <v>110</v>
      </c>
      <c r="C82" s="49">
        <f>'WHITE X2 PAPAYA &amp; CARROT SOAP '!E13</f>
        <v>0</v>
      </c>
      <c r="D82" s="49">
        <f t="shared" si="6"/>
        <v>0</v>
      </c>
    </row>
    <row r="83" ht="15.75" customHeight="1">
      <c r="A83" s="49">
        <f t="shared" si="2"/>
        <v>82</v>
      </c>
      <c r="B83" s="100" t="s">
        <v>111</v>
      </c>
      <c r="C83" s="49">
        <f>'MISS U CARROT TOMATO 5 IN 1 '!E13</f>
        <v>0</v>
      </c>
      <c r="D83" s="49">
        <f t="shared" si="6"/>
        <v>0</v>
      </c>
    </row>
    <row r="84" ht="15.75" customHeight="1">
      <c r="A84" s="49">
        <f t="shared" si="2"/>
        <v>83</v>
      </c>
      <c r="B84" s="100" t="s">
        <v>112</v>
      </c>
      <c r="C84" s="49">
        <f>'ALOE PAA LOTION B S 400ML'!E13</f>
        <v>0</v>
      </c>
      <c r="D84" s="49">
        <f t="shared" si="6"/>
        <v>0</v>
      </c>
    </row>
    <row r="85" ht="15.75" customHeight="1">
      <c r="A85" s="49">
        <f t="shared" si="2"/>
        <v>84</v>
      </c>
      <c r="B85" s="100" t="s">
        <v>113</v>
      </c>
      <c r="C85" s="49">
        <f>'ALOE PAA PRINCESS B S 460ML'!E13</f>
        <v>0</v>
      </c>
      <c r="D85" s="49">
        <f t="shared" si="6"/>
        <v>0</v>
      </c>
    </row>
    <row r="86" ht="15.75" customHeight="1">
      <c r="A86" s="49">
        <f t="shared" si="2"/>
        <v>85</v>
      </c>
      <c r="B86" s="100" t="s">
        <v>114</v>
      </c>
      <c r="C86" s="49">
        <f>'ALOE PAA PRINCESS M S 260ML'!E12</f>
        <v>0</v>
      </c>
      <c r="D86" s="49">
        <f t="shared" si="6"/>
        <v>0</v>
      </c>
    </row>
    <row r="87" ht="15.75" customHeight="1">
      <c r="A87" s="49">
        <f t="shared" si="2"/>
        <v>86</v>
      </c>
      <c r="B87" s="100" t="s">
        <v>115</v>
      </c>
      <c r="C87" s="49">
        <f>'ALOE PAA PRINCESS S S 150ML'!E10</f>
        <v>0</v>
      </c>
      <c r="D87" s="49">
        <f t="shared" si="6"/>
        <v>0</v>
      </c>
    </row>
    <row r="88" ht="15.75" customHeight="1">
      <c r="A88" s="49">
        <f t="shared" si="2"/>
        <v>87</v>
      </c>
      <c r="B88" s="100" t="s">
        <v>116</v>
      </c>
      <c r="C88" s="49">
        <f>'BABY GIRL LOTION 270ML'!E12</f>
        <v>0</v>
      </c>
      <c r="D88" s="49">
        <f t="shared" si="6"/>
        <v>0</v>
      </c>
    </row>
    <row r="89" ht="15.75" customHeight="1">
      <c r="A89" s="49">
        <f t="shared" si="2"/>
        <v>88</v>
      </c>
      <c r="B89" s="100" t="s">
        <v>117</v>
      </c>
      <c r="C89" s="49">
        <f>'BABY BOY LOTION 270ML'!E12</f>
        <v>0</v>
      </c>
      <c r="D89" s="49">
        <f t="shared" si="6"/>
        <v>0</v>
      </c>
    </row>
    <row r="90" ht="15.75" customHeight="1">
      <c r="A90" s="49">
        <f t="shared" si="2"/>
        <v>89</v>
      </c>
      <c r="B90" s="100" t="s">
        <v>118</v>
      </c>
      <c r="C90" s="49">
        <f>'BABY BOY OIL M S 100ML'!E13</f>
        <v>0</v>
      </c>
      <c r="D90" s="49">
        <f t="shared" si="6"/>
        <v>0</v>
      </c>
    </row>
    <row r="91" ht="15.75" customHeight="1">
      <c r="A91" s="49">
        <f t="shared" si="2"/>
        <v>90</v>
      </c>
      <c r="B91" s="100" t="s">
        <v>119</v>
      </c>
      <c r="C91" s="49">
        <f>'BABY GIRL OIL M S 100ML'!E13</f>
        <v>0</v>
      </c>
      <c r="D91" s="49">
        <f t="shared" si="6"/>
        <v>0</v>
      </c>
    </row>
    <row r="92" ht="15.75" customHeight="1">
      <c r="A92" s="49">
        <f t="shared" si="2"/>
        <v>91</v>
      </c>
      <c r="B92" s="100" t="s">
        <v>120</v>
      </c>
      <c r="C92" s="49">
        <f>'BABY GIRL CREAM S S 165ML'!E12</f>
        <v>0</v>
      </c>
      <c r="D92" s="49">
        <f t="shared" si="6"/>
        <v>0</v>
      </c>
    </row>
    <row r="93" ht="15.75" customHeight="1">
      <c r="A93" s="49">
        <f t="shared" si="2"/>
        <v>92</v>
      </c>
      <c r="B93" s="100" t="s">
        <v>121</v>
      </c>
      <c r="C93" s="49">
        <f>'BABY BOY CREAM S S 165ML'!E12</f>
        <v>0</v>
      </c>
      <c r="D93" s="49">
        <f t="shared" si="6"/>
        <v>0</v>
      </c>
    </row>
    <row r="94" ht="15.75" customHeight="1">
      <c r="A94" s="49">
        <f t="shared" si="2"/>
        <v>93</v>
      </c>
      <c r="B94" s="100" t="s">
        <v>122</v>
      </c>
      <c r="C94" s="49">
        <f>'BABY GIRL POMADE S S 165ML'!E12</f>
        <v>0</v>
      </c>
      <c r="D94" s="49">
        <f t="shared" si="6"/>
        <v>0</v>
      </c>
    </row>
    <row r="95" ht="15.75" customHeight="1">
      <c r="A95" s="49">
        <f t="shared" si="2"/>
        <v>94</v>
      </c>
      <c r="B95" s="100" t="s">
        <v>123</v>
      </c>
      <c r="C95" s="49">
        <f>'BABY BOY POMADE S S 165ML'!E12</f>
        <v>0</v>
      </c>
      <c r="D95" s="49">
        <f t="shared" si="6"/>
        <v>0</v>
      </c>
    </row>
    <row r="96" ht="15.75" customHeight="1">
      <c r="A96" s="49">
        <f t="shared" si="2"/>
        <v>95</v>
      </c>
      <c r="B96" s="100" t="s">
        <v>124</v>
      </c>
      <c r="C96" s="49">
        <f>'BABY GIRL PWD S S 50GM'!E12</f>
        <v>0</v>
      </c>
      <c r="D96" s="49">
        <f t="shared" si="6"/>
        <v>0</v>
      </c>
    </row>
    <row r="97" ht="15.75" customHeight="1">
      <c r="A97" s="49">
        <f t="shared" si="2"/>
        <v>96</v>
      </c>
      <c r="B97" s="100" t="s">
        <v>125</v>
      </c>
      <c r="C97" s="49">
        <f>'BABY GIRL PWD M S 180GM'!E10</f>
        <v>0</v>
      </c>
      <c r="D97" s="49">
        <f t="shared" si="6"/>
        <v>0</v>
      </c>
    </row>
    <row r="98" ht="15.75" customHeight="1">
      <c r="A98" s="49">
        <f t="shared" si="2"/>
        <v>97</v>
      </c>
      <c r="B98" s="100" t="s">
        <v>126</v>
      </c>
      <c r="C98" s="49">
        <f>'BABY BOY PWD S S 50GM'!E12</f>
        <v>0</v>
      </c>
      <c r="D98" s="49">
        <f t="shared" si="6"/>
        <v>0</v>
      </c>
    </row>
    <row r="99" ht="15.75" customHeight="1">
      <c r="A99" s="49">
        <f t="shared" si="2"/>
        <v>98</v>
      </c>
      <c r="B99" s="100" t="s">
        <v>127</v>
      </c>
      <c r="C99" s="49">
        <f>'BABY BOY PWD M S 180GM'!E8</f>
        <v>0</v>
      </c>
      <c r="D99" s="49">
        <f t="shared" si="6"/>
        <v>0</v>
      </c>
    </row>
    <row r="100" ht="15.75" customHeight="1">
      <c r="A100" s="49">
        <f t="shared" si="2"/>
        <v>99</v>
      </c>
      <c r="B100" s="100" t="s">
        <v>128</v>
      </c>
      <c r="C100" s="49">
        <f>'SISTER PDE S S 100ML'!E14</f>
        <v>0</v>
      </c>
      <c r="D100" s="49">
        <f t="shared" si="6"/>
        <v>0</v>
      </c>
    </row>
    <row r="101" ht="15.75" customHeight="1">
      <c r="A101" s="49">
        <f t="shared" si="2"/>
        <v>100</v>
      </c>
      <c r="B101" s="100" t="s">
        <v>129</v>
      </c>
      <c r="C101" s="49">
        <f>'SISTER PDE M S 175ML'!E14</f>
        <v>0</v>
      </c>
      <c r="D101" s="49">
        <f t="shared" si="6"/>
        <v>0</v>
      </c>
    </row>
    <row r="102" ht="15.75" customHeight="1">
      <c r="A102" s="49">
        <f t="shared" si="2"/>
        <v>101</v>
      </c>
      <c r="B102" s="100" t="s">
        <v>130</v>
      </c>
      <c r="C102" s="49">
        <f>'SISTER COCOA-BUTTER POMADE 100'!E14</f>
        <v>0</v>
      </c>
      <c r="D102" s="49">
        <f t="shared" si="6"/>
        <v>0</v>
      </c>
    </row>
    <row r="103" ht="15.75" customHeight="1">
      <c r="A103" s="49">
        <f t="shared" si="2"/>
        <v>102</v>
      </c>
      <c r="B103" s="100" t="s">
        <v>131</v>
      </c>
      <c r="C103" s="49">
        <f>'SISTER COCOA-BUTTER POMADE 175'!E14</f>
        <v>0</v>
      </c>
      <c r="D103" s="49">
        <f t="shared" si="6"/>
        <v>0</v>
      </c>
    </row>
    <row r="104" ht="15.75" customHeight="1">
      <c r="A104" s="49">
        <f t="shared" si="2"/>
        <v>103</v>
      </c>
      <c r="B104" s="100" t="s">
        <v>132</v>
      </c>
      <c r="C104" s="49">
        <f>'AVOCADO PDE B S 280ML'!E14</f>
        <v>0</v>
      </c>
      <c r="D104" s="49">
        <f t="shared" si="6"/>
        <v>0</v>
      </c>
    </row>
    <row r="105" ht="15.75" customHeight="1">
      <c r="A105" s="49">
        <f t="shared" si="2"/>
        <v>104</v>
      </c>
      <c r="B105" s="100" t="s">
        <v>133</v>
      </c>
      <c r="C105" s="49">
        <f>'CARROBEL CREAM 150ML'!E14</f>
        <v>0</v>
      </c>
      <c r="D105" s="49">
        <f t="shared" si="6"/>
        <v>0</v>
      </c>
    </row>
    <row r="106" ht="15.75" customHeight="1">
      <c r="A106" s="49">
        <f t="shared" si="2"/>
        <v>105</v>
      </c>
      <c r="B106" s="100" t="s">
        <v>134</v>
      </c>
      <c r="C106" s="49">
        <f>'CARROBEL CREAM 280 ML'!E14</f>
        <v>0</v>
      </c>
      <c r="D106" s="49">
        <f t="shared" si="6"/>
        <v>0</v>
      </c>
    </row>
    <row r="107" ht="15.75" customHeight="1">
      <c r="A107" s="49">
        <f t="shared" si="2"/>
        <v>106</v>
      </c>
      <c r="B107" s="100" t="s">
        <v>135</v>
      </c>
      <c r="C107" s="49">
        <f>'CARROBEL POMADE 150ML'!E14</f>
        <v>0</v>
      </c>
      <c r="D107" s="49">
        <f t="shared" si="6"/>
        <v>0</v>
      </c>
    </row>
    <row r="108" ht="15.75" customHeight="1">
      <c r="A108" s="49">
        <f t="shared" si="2"/>
        <v>107</v>
      </c>
      <c r="B108" s="100" t="s">
        <v>136</v>
      </c>
      <c r="C108" s="49">
        <f>'CARROBEL POMADE B S 280ML'!E14</f>
        <v>0</v>
      </c>
      <c r="D108" s="49">
        <f t="shared" si="6"/>
        <v>0</v>
      </c>
    </row>
    <row r="109" ht="15.75" customHeight="1">
      <c r="A109" s="49">
        <f t="shared" si="2"/>
        <v>108</v>
      </c>
      <c r="B109" s="100" t="s">
        <v>137</v>
      </c>
      <c r="C109" s="57">
        <f>'JAM RICE MILK SOAP '!E27</f>
        <v>0</v>
      </c>
      <c r="D109" s="49">
        <f t="shared" si="6"/>
        <v>0</v>
      </c>
    </row>
    <row r="110" ht="15.75" customHeight="1">
      <c r="A110" s="49">
        <f t="shared" si="2"/>
        <v>109</v>
      </c>
      <c r="B110" s="100" t="s">
        <v>138</v>
      </c>
      <c r="C110" s="57">
        <f>'JAM PAPAYA SOAP '!E16</f>
        <v>0</v>
      </c>
      <c r="D110" s="49">
        <f t="shared" si="6"/>
        <v>0</v>
      </c>
    </row>
    <row r="111" ht="15.75" customHeight="1">
      <c r="A111" s="49">
        <f t="shared" si="2"/>
        <v>110</v>
      </c>
      <c r="B111" s="100" t="s">
        <v>139</v>
      </c>
      <c r="C111" s="57">
        <f>'JAM CARROT SOAP '!E16</f>
        <v>0</v>
      </c>
      <c r="D111" s="49">
        <f t="shared" si="6"/>
        <v>0</v>
      </c>
    </row>
    <row r="112" ht="15.75" customHeight="1">
      <c r="A112" s="49">
        <f t="shared" si="2"/>
        <v>111</v>
      </c>
      <c r="B112" s="100" t="s">
        <v>140</v>
      </c>
      <c r="C112" s="57">
        <f>'SOAP BAR WITH GLUTA'!E16</f>
        <v>0</v>
      </c>
      <c r="D112" s="49">
        <f t="shared" si="6"/>
        <v>0</v>
      </c>
    </row>
    <row r="113" ht="15.75" customHeight="1">
      <c r="A113" s="49">
        <f t="shared" si="2"/>
        <v>112</v>
      </c>
      <c r="B113" s="100" t="s">
        <v>141</v>
      </c>
      <c r="C113" s="57">
        <f>'AHA SERUM 30 ML'!E26</f>
        <v>0</v>
      </c>
      <c r="D113" s="49">
        <f t="shared" si="6"/>
        <v>0</v>
      </c>
    </row>
    <row r="114" ht="15.75" customHeight="1">
      <c r="A114" s="49">
        <f t="shared" si="2"/>
        <v>113</v>
      </c>
      <c r="B114" s="100" t="s">
        <v>142</v>
      </c>
      <c r="C114" s="49">
        <f>'ASANTE PAPAYE AND HONEY MILK'!E16</f>
        <v>0</v>
      </c>
      <c r="D114" s="49">
        <f t="shared" si="6"/>
        <v>0</v>
      </c>
    </row>
    <row r="115" ht="15.75" customHeight="1">
      <c r="A115" s="49">
        <f t="shared" si="2"/>
        <v>114</v>
      </c>
      <c r="B115" s="100" t="s">
        <v>143</v>
      </c>
      <c r="C115" s="49">
        <f>'ASANTE PAPAYA RICE MILK HONEY'!E16</f>
        <v>0</v>
      </c>
      <c r="D115" s="49">
        <f t="shared" si="6"/>
        <v>0</v>
      </c>
    </row>
    <row r="116" ht="15.75" customHeight="1">
      <c r="A116" s="49">
        <f t="shared" si="2"/>
        <v>115</v>
      </c>
      <c r="B116" s="100" t="s">
        <v>144</v>
      </c>
      <c r="C116" s="49">
        <f>'ASANTE CARROT WITH HONEY '!E16</f>
        <v>0</v>
      </c>
      <c r="D116" s="49">
        <f t="shared" si="6"/>
        <v>0</v>
      </c>
    </row>
    <row r="117" ht="15.75" customHeight="1">
      <c r="A117" s="49">
        <f t="shared" si="2"/>
        <v>116</v>
      </c>
      <c r="B117" s="100" t="s">
        <v>145</v>
      </c>
      <c r="C117" s="49">
        <f>'ASANTE TAMARIND GINGER HONEY'!E16</f>
        <v>0</v>
      </c>
      <c r="D117" s="49">
        <f t="shared" si="6"/>
        <v>0</v>
      </c>
    </row>
    <row r="118" ht="15.75" customHeight="1">
      <c r="A118" s="49">
        <f t="shared" si="2"/>
        <v>117</v>
      </c>
      <c r="B118" s="100" t="s">
        <v>146</v>
      </c>
      <c r="C118" s="49">
        <f>'ASANTE TAMARIND TURMERIC HONEY'!E16</f>
        <v>0</v>
      </c>
      <c r="D118" s="49">
        <f t="shared" si="6"/>
        <v>0</v>
      </c>
    </row>
    <row r="119" ht="15.75" customHeight="1">
      <c r="A119" s="49">
        <f t="shared" si="2"/>
        <v>118</v>
      </c>
      <c r="B119" s="100" t="s">
        <v>147</v>
      </c>
      <c r="C119" s="49">
        <f>'ASANTE RICE MILK WITH HONEY'!E16</f>
        <v>0</v>
      </c>
      <c r="D119" s="49">
        <f t="shared" si="6"/>
        <v>0</v>
      </c>
    </row>
    <row r="120" ht="15.75" customHeight="1">
      <c r="A120" s="49">
        <f t="shared" si="2"/>
        <v>119</v>
      </c>
      <c r="B120" s="100" t="s">
        <v>148</v>
      </c>
      <c r="C120" s="49">
        <f>'ASANTE TAMARIND AND HONEY '!E16</f>
        <v>0</v>
      </c>
      <c r="D120" s="49">
        <f t="shared" si="6"/>
        <v>0</v>
      </c>
    </row>
    <row r="121" ht="15.75" customHeight="1">
      <c r="A121" s="49">
        <f t="shared" si="2"/>
        <v>120</v>
      </c>
      <c r="B121" s="100" t="s">
        <v>149</v>
      </c>
      <c r="C121" s="49">
        <f>'ASANTE RICE MILK AND COLLAGEN'!E16</f>
        <v>0</v>
      </c>
      <c r="D121" s="49">
        <f t="shared" si="6"/>
        <v>0</v>
      </c>
    </row>
    <row r="122" ht="15.75" customHeight="1">
      <c r="A122" s="49">
        <f t="shared" si="2"/>
        <v>121</v>
      </c>
      <c r="B122" s="100" t="s">
        <v>150</v>
      </c>
      <c r="C122" s="49">
        <f>'HEAD TO TOE WASH BLUE 500ML'!E16</f>
        <v>0</v>
      </c>
      <c r="D122" s="49">
        <f t="shared" si="6"/>
        <v>0</v>
      </c>
    </row>
    <row r="123" ht="15.75" customHeight="1">
      <c r="A123" s="49">
        <f t="shared" si="2"/>
        <v>122</v>
      </c>
      <c r="B123" s="100" t="s">
        <v>151</v>
      </c>
      <c r="C123" s="49">
        <f>'HEAD TO TOE WASH PINK 500ML'!E16</f>
        <v>0</v>
      </c>
      <c r="D123" s="49">
        <f t="shared" si="6"/>
        <v>0</v>
      </c>
    </row>
    <row r="124" ht="15.75" customHeight="1">
      <c r="A124" s="49">
        <f t="shared" si="2"/>
        <v>123</v>
      </c>
      <c r="B124" s="100" t="s">
        <v>152</v>
      </c>
      <c r="C124" s="49">
        <f>'HEAD TO TOE WASH PURPLE 500ML'!E16</f>
        <v>0</v>
      </c>
      <c r="D124" s="49">
        <f t="shared" si="6"/>
        <v>0</v>
      </c>
    </row>
    <row r="125" ht="15.75" customHeight="1">
      <c r="A125" s="49">
        <f t="shared" si="2"/>
        <v>124</v>
      </c>
      <c r="B125" s="100" t="s">
        <v>153</v>
      </c>
      <c r="C125" s="49">
        <f>'HEAD TO TOE WASH YELLOW 500ML'!E16</f>
        <v>0</v>
      </c>
      <c r="D125" s="49">
        <f t="shared" si="6"/>
        <v>0</v>
      </c>
    </row>
    <row r="126" ht="15.75" customHeight="1">
      <c r="A126" s="49">
        <f t="shared" si="2"/>
        <v>125</v>
      </c>
      <c r="B126" s="100" t="s">
        <v>154</v>
      </c>
      <c r="C126" s="49">
        <f>'CARE BODY LOTION B S 420ML'!E16</f>
        <v>0</v>
      </c>
      <c r="D126" s="49">
        <f t="shared" si="6"/>
        <v>0</v>
      </c>
    </row>
    <row r="127" ht="15.75" customHeight="1">
      <c r="A127" s="49">
        <f t="shared" si="2"/>
        <v>126</v>
      </c>
      <c r="B127" s="100" t="s">
        <v>155</v>
      </c>
      <c r="C127" s="49">
        <f>'COLLAGEN ORANGE SOAP '!E23</f>
        <v>0</v>
      </c>
      <c r="D127" s="49">
        <f t="shared" si="6"/>
        <v>0</v>
      </c>
    </row>
    <row r="128" ht="15.75" customHeight="1">
      <c r="A128" s="49">
        <f t="shared" si="2"/>
        <v>127</v>
      </c>
      <c r="B128" s="100" t="s">
        <v>156</v>
      </c>
      <c r="C128" s="49">
        <f>' PAPAYA ARUBTIN SKIN SPA 700GM'!E16</f>
        <v>0</v>
      </c>
      <c r="D128" s="49">
        <f t="shared" si="6"/>
        <v>0</v>
      </c>
    </row>
    <row r="129" ht="15.75" customHeight="1">
      <c r="A129" s="49">
        <f t="shared" si="2"/>
        <v>128</v>
      </c>
      <c r="B129" s="100" t="s">
        <v>157</v>
      </c>
      <c r="C129" s="49">
        <f>'PAPAYA TOMATO SKIN SPA 700GM'!E16</f>
        <v>0</v>
      </c>
      <c r="D129" s="49">
        <f t="shared" si="6"/>
        <v>0</v>
      </c>
    </row>
    <row r="130" ht="15.75" customHeight="1">
      <c r="A130" s="49">
        <f t="shared" si="2"/>
        <v>129</v>
      </c>
      <c r="B130" s="100" t="s">
        <v>158</v>
      </c>
      <c r="C130" s="49">
        <f>'HONEY TURMERIC SKIN SPA 700GM'!E16</f>
        <v>0</v>
      </c>
      <c r="D130" s="49">
        <f t="shared" si="6"/>
        <v>0</v>
      </c>
    </row>
    <row r="131" ht="15.75" customHeight="1">
      <c r="A131" s="49">
        <f t="shared" si="2"/>
        <v>130</v>
      </c>
      <c r="B131" s="100" t="s">
        <v>159</v>
      </c>
      <c r="C131" s="49">
        <f>'SUPEA AHA SKIN SPA 700GM'!E16</f>
        <v>0</v>
      </c>
      <c r="D131" s="49">
        <f t="shared" si="6"/>
        <v>0</v>
      </c>
    </row>
    <row r="132" ht="15.75" customHeight="1">
      <c r="A132" s="49">
        <f t="shared" si="2"/>
        <v>131</v>
      </c>
      <c r="B132" s="100" t="s">
        <v>160</v>
      </c>
      <c r="C132" s="49">
        <f>'SMOOTH &amp; CLEAN 700GM'!E17</f>
        <v>0</v>
      </c>
      <c r="D132" s="49">
        <f t="shared" si="6"/>
        <v>0</v>
      </c>
    </row>
    <row r="133" ht="15.75" customHeight="1">
      <c r="A133" s="49">
        <f t="shared" si="2"/>
        <v>132</v>
      </c>
      <c r="B133" s="100" t="s">
        <v>161</v>
      </c>
      <c r="C133" s="49">
        <f>'BODY SCRUB TOMATO GOAT MILK '!E16</f>
        <v>0</v>
      </c>
      <c r="D133" s="49">
        <f t="shared" si="6"/>
        <v>0</v>
      </c>
    </row>
    <row r="134" ht="15.75" customHeight="1">
      <c r="A134" s="49">
        <f t="shared" si="2"/>
        <v>133</v>
      </c>
      <c r="B134" s="100" t="s">
        <v>162</v>
      </c>
      <c r="C134" s="49">
        <f>'BODY SCRUB TURMERIC HONEY '!E16</f>
        <v>0</v>
      </c>
      <c r="D134" s="49">
        <f t="shared" si="6"/>
        <v>0</v>
      </c>
    </row>
    <row r="135" ht="15.75" customHeight="1">
      <c r="A135" s="49">
        <f t="shared" si="2"/>
        <v>134</v>
      </c>
      <c r="B135" s="100" t="s">
        <v>163</v>
      </c>
      <c r="C135" s="49">
        <f>'BODY SCRUB RICE MILK '!E16</f>
        <v>0</v>
      </c>
      <c r="D135" s="49">
        <f t="shared" si="6"/>
        <v>0</v>
      </c>
    </row>
    <row r="136" ht="15.75" customHeight="1">
      <c r="A136" s="49">
        <f t="shared" si="2"/>
        <v>135</v>
      </c>
      <c r="B136" s="100" t="s">
        <v>164</v>
      </c>
      <c r="C136" s="49">
        <f>'BODY SCRUB TAMARIND &amp; HONEY '!E16</f>
        <v>0</v>
      </c>
      <c r="D136" s="49">
        <f t="shared" si="6"/>
        <v>0</v>
      </c>
    </row>
    <row r="137" ht="15.75" customHeight="1">
      <c r="A137" s="49">
        <f t="shared" si="2"/>
        <v>136</v>
      </c>
      <c r="B137" s="100" t="s">
        <v>165</v>
      </c>
      <c r="C137" s="49">
        <f>'PAPAYA ARUBTIN LOTION 600ML'!E16</f>
        <v>0</v>
      </c>
      <c r="D137" s="49">
        <f t="shared" si="6"/>
        <v>0</v>
      </c>
    </row>
    <row r="138" ht="15.75" customHeight="1">
      <c r="A138" s="49">
        <f t="shared" si="2"/>
        <v>137</v>
      </c>
      <c r="B138" s="100" t="s">
        <v>166</v>
      </c>
      <c r="C138" s="49">
        <f>'ARUBTIN VIT-C-LOTION 600ML'!E16</f>
        <v>0</v>
      </c>
      <c r="D138" s="49">
        <f t="shared" si="6"/>
        <v>0</v>
      </c>
    </row>
    <row r="139" ht="15.75" customHeight="1">
      <c r="A139" s="49">
        <f t="shared" si="2"/>
        <v>138</v>
      </c>
      <c r="B139" s="100" t="s">
        <v>167</v>
      </c>
      <c r="C139" s="49">
        <f>'SUPER AHA LEMON LOTION 600ML'!E16</f>
        <v>0</v>
      </c>
      <c r="D139" s="49">
        <f t="shared" si="6"/>
        <v>0</v>
      </c>
    </row>
    <row r="140" ht="15.75" customHeight="1">
      <c r="A140" s="49">
        <f t="shared" si="2"/>
        <v>139</v>
      </c>
      <c r="B140" s="100" t="s">
        <v>168</v>
      </c>
      <c r="C140" s="49">
        <f>'HONEY RICE MILK LOTION 600ML'!E16</f>
        <v>0</v>
      </c>
      <c r="D140" s="49">
        <f t="shared" si="6"/>
        <v>0</v>
      </c>
    </row>
    <row r="141" ht="15.75" customHeight="1">
      <c r="A141" s="49">
        <f t="shared" si="2"/>
        <v>140</v>
      </c>
      <c r="B141" s="100" t="s">
        <v>169</v>
      </c>
      <c r="C141" s="49">
        <f>'MIMI WHITE VIT C SERUM 30ML'!E16</f>
        <v>0</v>
      </c>
      <c r="D141" s="49">
        <f t="shared" si="6"/>
        <v>0</v>
      </c>
    </row>
    <row r="142" ht="15.75" customHeight="1">
      <c r="A142" s="49">
        <f t="shared" si="2"/>
        <v>141</v>
      </c>
      <c r="B142" s="100" t="s">
        <v>170</v>
      </c>
      <c r="C142" s="49">
        <f>'PAPAYA &amp; CARROT CREAM 15GM'!E16</f>
        <v>0</v>
      </c>
      <c r="D142" s="49">
        <f t="shared" si="6"/>
        <v>0</v>
      </c>
    </row>
    <row r="143" ht="15.75" customHeight="1">
      <c r="A143" s="49">
        <f t="shared" si="2"/>
        <v>142</v>
      </c>
      <c r="B143" s="100" t="s">
        <v>172</v>
      </c>
      <c r="C143" s="49">
        <f>'RED CREAM '!E17</f>
        <v>0</v>
      </c>
      <c r="D143" s="49">
        <f t="shared" si="6"/>
        <v>0</v>
      </c>
    </row>
    <row r="144" ht="15.75" customHeight="1">
      <c r="A144" s="49">
        <f t="shared" si="2"/>
        <v>143</v>
      </c>
      <c r="B144" s="100" t="s">
        <v>173</v>
      </c>
      <c r="C144" s="49">
        <f>'P - CARE CREAM '!E16</f>
        <v>0</v>
      </c>
      <c r="D144" s="49">
        <f t="shared" si="6"/>
        <v>0</v>
      </c>
    </row>
    <row r="145" ht="15.75" customHeight="1">
      <c r="A145" s="49">
        <f t="shared" si="2"/>
        <v>144</v>
      </c>
      <c r="B145" s="100" t="s">
        <v>174</v>
      </c>
      <c r="C145" s="49">
        <f>'PAULA VIT - C SOAP '!E16</f>
        <v>0</v>
      </c>
      <c r="D145" s="49">
        <f t="shared" si="6"/>
        <v>0</v>
      </c>
    </row>
    <row r="146" ht="15.75" customHeight="1">
      <c r="A146" s="49">
        <f t="shared" si="2"/>
        <v>145</v>
      </c>
      <c r="B146" s="100" t="s">
        <v>175</v>
      </c>
      <c r="C146" s="49">
        <f>'POP PEARL CREAM'!E16</f>
        <v>0</v>
      </c>
      <c r="D146" s="49">
        <f t="shared" si="6"/>
        <v>0</v>
      </c>
    </row>
    <row r="147" ht="15.75" customHeight="1">
      <c r="A147" s="49">
        <f t="shared" si="2"/>
        <v>146</v>
      </c>
      <c r="B147" s="100" t="s">
        <v>176</v>
      </c>
      <c r="C147" s="49">
        <f>'POP PAPAYA CREAM'!E16</f>
        <v>0</v>
      </c>
      <c r="D147" s="49">
        <f t="shared" si="6"/>
        <v>0</v>
      </c>
    </row>
    <row r="148" ht="15.75" customHeight="1">
      <c r="A148" s="49">
        <f t="shared" si="2"/>
        <v>147</v>
      </c>
      <c r="B148" s="100" t="s">
        <v>177</v>
      </c>
      <c r="C148" s="49">
        <f>'POP FACIAL CREAM WITH CURCUMA'!E16</f>
        <v>0</v>
      </c>
      <c r="D148" s="49">
        <f t="shared" si="6"/>
        <v>0</v>
      </c>
    </row>
    <row r="149" ht="15.75" customHeight="1">
      <c r="A149" s="49">
        <f t="shared" si="2"/>
        <v>148</v>
      </c>
      <c r="B149" s="100" t="s">
        <v>178</v>
      </c>
      <c r="C149" s="49">
        <f>'POP FACIAL CREAM '!E16</f>
        <v>0</v>
      </c>
      <c r="D149" s="49">
        <f t="shared" si="6"/>
        <v>0</v>
      </c>
    </row>
    <row r="150" ht="15.75" customHeight="1">
      <c r="A150" s="49">
        <f t="shared" si="2"/>
        <v>149</v>
      </c>
      <c r="B150" s="100" t="s">
        <v>179</v>
      </c>
      <c r="C150" s="49">
        <f>'STYLE UP PARFUM SPORT 50ML'!E16</f>
        <v>0</v>
      </c>
      <c r="D150" s="49">
        <f t="shared" si="6"/>
        <v>0</v>
      </c>
    </row>
    <row r="151" ht="15.75" customHeight="1">
      <c r="D151" s="105"/>
      <c r="E151" s="117"/>
    </row>
    <row r="152" ht="15.75" customHeight="1">
      <c r="D152" s="105"/>
    </row>
    <row r="153" ht="15.75" customHeight="1">
      <c r="D153" s="105"/>
    </row>
    <row r="154" ht="15.75" customHeight="1">
      <c r="D154" s="105"/>
    </row>
    <row r="155" ht="15.75" customHeight="1">
      <c r="D155" s="105"/>
    </row>
    <row r="156" ht="15.75" customHeight="1">
      <c r="D156" s="105"/>
    </row>
    <row r="157" ht="15.75" customHeight="1">
      <c r="D157" s="105"/>
    </row>
    <row r="158" ht="15.75" customHeight="1">
      <c r="D158" s="105"/>
    </row>
    <row r="159" ht="15.75" customHeight="1">
      <c r="D159" s="105"/>
    </row>
    <row r="160" ht="15.75" customHeight="1">
      <c r="D160" s="105"/>
    </row>
    <row r="161" ht="15.75" customHeight="1">
      <c r="D161" s="105"/>
    </row>
    <row r="162" ht="15.75" customHeight="1">
      <c r="D162" s="105"/>
    </row>
    <row r="163" ht="15.75" customHeight="1">
      <c r="D163" s="105"/>
    </row>
    <row r="164" ht="15.75" customHeight="1">
      <c r="D164" s="105"/>
    </row>
    <row r="165" ht="15.75" customHeight="1">
      <c r="D165" s="105"/>
    </row>
    <row r="166" ht="15.75" customHeight="1">
      <c r="D166" s="105"/>
    </row>
    <row r="167" ht="15.75" customHeight="1">
      <c r="D167" s="105"/>
    </row>
    <row r="168" ht="15.75" customHeight="1">
      <c r="D168" s="105"/>
    </row>
    <row r="169" ht="15.75" customHeight="1">
      <c r="D169" s="105"/>
    </row>
    <row r="170" ht="15.75" customHeight="1">
      <c r="D170" s="105"/>
    </row>
    <row r="171" ht="15.75" customHeight="1">
      <c r="D171" s="105"/>
    </row>
    <row r="172" ht="15.75" customHeight="1">
      <c r="D172" s="105"/>
    </row>
    <row r="173" ht="15.75" customHeight="1">
      <c r="D173" s="105"/>
    </row>
    <row r="174" ht="15.75" customHeight="1">
      <c r="D174" s="105"/>
    </row>
    <row r="175" ht="15.75" customHeight="1">
      <c r="D175" s="105"/>
    </row>
    <row r="176" ht="15.75" customHeight="1">
      <c r="D176" s="105"/>
    </row>
    <row r="177" ht="15.75" customHeight="1">
      <c r="D177" s="105"/>
    </row>
    <row r="178" ht="15.75" customHeight="1">
      <c r="D178" s="105"/>
    </row>
    <row r="179" ht="15.75" customHeight="1">
      <c r="D179" s="105"/>
    </row>
    <row r="180" ht="15.75" customHeight="1">
      <c r="D180" s="105"/>
    </row>
    <row r="181" ht="15.75" customHeight="1">
      <c r="D181" s="105"/>
    </row>
    <row r="182" ht="15.75" customHeight="1">
      <c r="D182" s="105"/>
    </row>
    <row r="183" ht="15.75" customHeight="1">
      <c r="D183" s="105"/>
    </row>
    <row r="184" ht="15.75" customHeight="1">
      <c r="D184" s="105"/>
    </row>
    <row r="185" ht="15.75" customHeight="1">
      <c r="D185" s="105"/>
    </row>
    <row r="186" ht="15.75" customHeight="1">
      <c r="D186" s="105"/>
    </row>
    <row r="187" ht="15.75" customHeight="1">
      <c r="D187" s="105"/>
    </row>
    <row r="188" ht="15.75" customHeight="1">
      <c r="D188" s="105"/>
    </row>
    <row r="189" ht="15.75" customHeight="1">
      <c r="D189" s="105"/>
    </row>
    <row r="190" ht="15.75" customHeight="1">
      <c r="D190" s="105"/>
    </row>
    <row r="191" ht="15.75" customHeight="1">
      <c r="D191" s="105"/>
    </row>
    <row r="192" ht="15.75" customHeight="1">
      <c r="D192" s="105"/>
    </row>
    <row r="193" ht="15.75" customHeight="1">
      <c r="D193" s="105"/>
    </row>
    <row r="194" ht="15.75" customHeight="1">
      <c r="D194" s="105"/>
    </row>
    <row r="195" ht="15.75" customHeight="1">
      <c r="D195" s="105"/>
    </row>
    <row r="196" ht="15.75" customHeight="1">
      <c r="D196" s="105"/>
    </row>
    <row r="197" ht="15.75" customHeight="1">
      <c r="D197" s="105"/>
    </row>
    <row r="198" ht="15.75" customHeight="1">
      <c r="D198" s="105"/>
    </row>
    <row r="199" ht="15.75" customHeight="1">
      <c r="D199" s="105"/>
    </row>
    <row r="200" ht="15.75" customHeight="1">
      <c r="D200" s="105"/>
    </row>
    <row r="201" ht="15.75" customHeight="1">
      <c r="D201" s="105"/>
    </row>
    <row r="202" ht="15.75" customHeight="1">
      <c r="D202" s="105"/>
    </row>
    <row r="203" ht="15.75" customHeight="1">
      <c r="D203" s="105"/>
    </row>
    <row r="204" ht="15.75" customHeight="1">
      <c r="D204" s="105"/>
    </row>
    <row r="205" ht="15.75" customHeight="1">
      <c r="D205" s="105"/>
    </row>
    <row r="206" ht="15.75" customHeight="1">
      <c r="D206" s="105"/>
    </row>
    <row r="207" ht="15.75" customHeight="1">
      <c r="D207" s="105"/>
    </row>
    <row r="208" ht="15.75" customHeight="1">
      <c r="D208" s="105"/>
    </row>
    <row r="209" ht="15.75" customHeight="1">
      <c r="D209" s="105"/>
    </row>
    <row r="210" ht="15.75" customHeight="1">
      <c r="D210" s="105"/>
    </row>
    <row r="211" ht="15.75" customHeight="1">
      <c r="D211" s="105"/>
    </row>
    <row r="212" ht="15.75" customHeight="1">
      <c r="D212" s="105"/>
    </row>
    <row r="213" ht="15.75" customHeight="1">
      <c r="D213" s="105"/>
    </row>
    <row r="214" ht="15.75" customHeight="1">
      <c r="D214" s="105"/>
    </row>
    <row r="215" ht="15.75" customHeight="1">
      <c r="D215" s="105"/>
    </row>
    <row r="216" ht="15.75" customHeight="1">
      <c r="D216" s="105"/>
    </row>
    <row r="217" ht="15.75" customHeight="1">
      <c r="D217" s="105"/>
    </row>
    <row r="218" ht="15.75" customHeight="1">
      <c r="D218" s="105"/>
    </row>
    <row r="219" ht="15.75" customHeight="1">
      <c r="D219" s="105"/>
    </row>
    <row r="220" ht="15.75" customHeight="1">
      <c r="D220" s="105"/>
    </row>
    <row r="221" ht="15.75" customHeight="1">
      <c r="D221" s="105"/>
    </row>
    <row r="222" ht="15.75" customHeight="1">
      <c r="D222" s="105"/>
    </row>
    <row r="223" ht="15.75" customHeight="1">
      <c r="D223" s="105"/>
    </row>
    <row r="224" ht="15.75" customHeight="1">
      <c r="D224" s="105"/>
    </row>
    <row r="225" ht="15.75" customHeight="1">
      <c r="D225" s="105"/>
    </row>
    <row r="226" ht="15.75" customHeight="1">
      <c r="D226" s="105"/>
    </row>
    <row r="227" ht="15.75" customHeight="1">
      <c r="D227" s="105"/>
    </row>
    <row r="228" ht="15.75" customHeight="1">
      <c r="D228" s="105"/>
    </row>
    <row r="229" ht="15.75" customHeight="1">
      <c r="D229" s="105"/>
    </row>
    <row r="230" ht="15.75" customHeight="1">
      <c r="D230" s="105"/>
    </row>
    <row r="231" ht="15.75" customHeight="1">
      <c r="D231" s="105"/>
    </row>
    <row r="232" ht="15.75" customHeight="1">
      <c r="D232" s="105"/>
    </row>
    <row r="233" ht="15.75" customHeight="1">
      <c r="D233" s="105"/>
    </row>
    <row r="234" ht="15.75" customHeight="1">
      <c r="D234" s="105"/>
    </row>
    <row r="235" ht="15.75" customHeight="1">
      <c r="D235" s="105"/>
    </row>
    <row r="236" ht="15.75" customHeight="1">
      <c r="D236" s="105"/>
    </row>
    <row r="237" ht="15.75" customHeight="1">
      <c r="D237" s="105"/>
    </row>
    <row r="238" ht="15.75" customHeight="1">
      <c r="D238" s="105"/>
    </row>
    <row r="239" ht="15.75" customHeight="1">
      <c r="D239" s="105"/>
    </row>
    <row r="240" ht="15.75" customHeight="1">
      <c r="D240" s="105"/>
    </row>
    <row r="241" ht="15.75" customHeight="1">
      <c r="D241" s="105"/>
    </row>
    <row r="242" ht="15.75" customHeight="1">
      <c r="D242" s="105"/>
    </row>
    <row r="243" ht="15.75" customHeight="1">
      <c r="D243" s="105"/>
    </row>
    <row r="244" ht="15.75" customHeight="1">
      <c r="D244" s="105"/>
    </row>
    <row r="245" ht="15.75" customHeight="1">
      <c r="D245" s="105"/>
    </row>
    <row r="246" ht="15.75" customHeight="1">
      <c r="D246" s="105"/>
    </row>
    <row r="247" ht="15.75" customHeight="1">
      <c r="D247" s="105"/>
    </row>
    <row r="248" ht="15.75" customHeight="1">
      <c r="D248" s="105"/>
    </row>
    <row r="249" ht="15.75" customHeight="1">
      <c r="D249" s="105"/>
    </row>
    <row r="250" ht="15.75" customHeight="1">
      <c r="D250" s="105"/>
    </row>
    <row r="251" ht="15.75" customHeight="1">
      <c r="D251" s="105"/>
    </row>
    <row r="252" ht="15.75" customHeight="1">
      <c r="D252" s="105"/>
    </row>
    <row r="253" ht="15.75" customHeight="1">
      <c r="D253" s="105"/>
    </row>
    <row r="254" ht="15.75" customHeight="1">
      <c r="D254" s="105"/>
    </row>
    <row r="255" ht="15.75" customHeight="1">
      <c r="D255" s="105"/>
    </row>
    <row r="256" ht="15.75" customHeight="1">
      <c r="D256" s="105"/>
    </row>
    <row r="257" ht="15.75" customHeight="1">
      <c r="D257" s="105"/>
    </row>
    <row r="258" ht="15.75" customHeight="1">
      <c r="D258" s="105"/>
    </row>
    <row r="259" ht="15.75" customHeight="1">
      <c r="D259" s="105"/>
    </row>
    <row r="260" ht="15.75" customHeight="1">
      <c r="D260" s="105"/>
    </row>
    <row r="261" ht="15.75" customHeight="1">
      <c r="D261" s="105"/>
    </row>
    <row r="262" ht="15.75" customHeight="1">
      <c r="D262" s="105"/>
    </row>
    <row r="263" ht="15.75" customHeight="1">
      <c r="D263" s="105"/>
    </row>
    <row r="264" ht="15.75" customHeight="1">
      <c r="D264" s="105"/>
    </row>
    <row r="265" ht="15.75" customHeight="1">
      <c r="D265" s="105"/>
    </row>
    <row r="266" ht="15.75" customHeight="1">
      <c r="D266" s="105"/>
    </row>
    <row r="267" ht="15.75" customHeight="1">
      <c r="D267" s="105"/>
    </row>
    <row r="268" ht="15.75" customHeight="1">
      <c r="D268" s="105"/>
    </row>
    <row r="269" ht="15.75" customHeight="1">
      <c r="D269" s="105"/>
    </row>
    <row r="270" ht="15.75" customHeight="1">
      <c r="D270" s="105"/>
    </row>
    <row r="271" ht="15.75" customHeight="1">
      <c r="D271" s="105"/>
    </row>
    <row r="272" ht="15.75" customHeight="1">
      <c r="D272" s="105"/>
    </row>
    <row r="273" ht="15.75" customHeight="1">
      <c r="D273" s="105"/>
    </row>
    <row r="274" ht="15.75" customHeight="1">
      <c r="D274" s="105"/>
    </row>
    <row r="275" ht="15.75" customHeight="1">
      <c r="D275" s="105"/>
    </row>
    <row r="276" ht="15.75" customHeight="1">
      <c r="D276" s="105"/>
    </row>
    <row r="277" ht="15.75" customHeight="1">
      <c r="D277" s="105"/>
    </row>
    <row r="278" ht="15.75" customHeight="1">
      <c r="D278" s="105"/>
    </row>
    <row r="279" ht="15.75" customHeight="1">
      <c r="D279" s="105"/>
    </row>
    <row r="280" ht="15.75" customHeight="1">
      <c r="D280" s="105"/>
    </row>
    <row r="281" ht="15.75" customHeight="1">
      <c r="D281" s="105"/>
    </row>
    <row r="282" ht="15.75" customHeight="1">
      <c r="D282" s="105"/>
    </row>
    <row r="283" ht="15.75" customHeight="1">
      <c r="D283" s="105"/>
    </row>
    <row r="284" ht="15.75" customHeight="1">
      <c r="D284" s="105"/>
    </row>
    <row r="285" ht="15.75" customHeight="1">
      <c r="D285" s="105"/>
    </row>
    <row r="286" ht="15.75" customHeight="1">
      <c r="D286" s="105"/>
    </row>
    <row r="287" ht="15.75" customHeight="1">
      <c r="D287" s="105"/>
    </row>
    <row r="288" ht="15.75" customHeight="1">
      <c r="D288" s="105"/>
    </row>
    <row r="289" ht="15.75" customHeight="1">
      <c r="D289" s="105"/>
    </row>
    <row r="290" ht="15.75" customHeight="1">
      <c r="D290" s="105"/>
    </row>
    <row r="291" ht="15.75" customHeight="1">
      <c r="D291" s="105"/>
    </row>
    <row r="292" ht="15.75" customHeight="1">
      <c r="D292" s="105"/>
    </row>
    <row r="293" ht="15.75" customHeight="1">
      <c r="D293" s="105"/>
    </row>
    <row r="294" ht="15.75" customHeight="1">
      <c r="D294" s="105"/>
    </row>
    <row r="295" ht="15.75" customHeight="1">
      <c r="D295" s="105"/>
    </row>
    <row r="296" ht="15.75" customHeight="1">
      <c r="D296" s="105"/>
    </row>
    <row r="297" ht="15.75" customHeight="1">
      <c r="D297" s="105"/>
    </row>
    <row r="298" ht="15.75" customHeight="1">
      <c r="D298" s="105"/>
    </row>
    <row r="299" ht="15.75" customHeight="1">
      <c r="D299" s="105"/>
    </row>
    <row r="300" ht="15.75" customHeight="1">
      <c r="D300" s="105"/>
    </row>
    <row r="301" ht="15.75" customHeight="1">
      <c r="D301" s="105"/>
    </row>
    <row r="302" ht="15.75" customHeight="1">
      <c r="D302" s="105"/>
    </row>
    <row r="303" ht="15.75" customHeight="1">
      <c r="D303" s="105"/>
    </row>
    <row r="304" ht="15.75" customHeight="1">
      <c r="D304" s="105"/>
    </row>
    <row r="305" ht="15.75" customHeight="1">
      <c r="D305" s="105"/>
    </row>
    <row r="306" ht="15.75" customHeight="1">
      <c r="D306" s="105"/>
    </row>
    <row r="307" ht="15.75" customHeight="1">
      <c r="D307" s="105"/>
    </row>
    <row r="308" ht="15.75" customHeight="1">
      <c r="D308" s="105"/>
    </row>
    <row r="309" ht="15.75" customHeight="1">
      <c r="D309" s="105"/>
    </row>
    <row r="310" ht="15.75" customHeight="1">
      <c r="D310" s="105"/>
    </row>
    <row r="311" ht="15.75" customHeight="1">
      <c r="D311" s="105"/>
    </row>
    <row r="312" ht="15.75" customHeight="1">
      <c r="D312" s="105"/>
    </row>
    <row r="313" ht="15.75" customHeight="1">
      <c r="D313" s="105"/>
    </row>
    <row r="314" ht="15.75" customHeight="1">
      <c r="D314" s="105"/>
    </row>
    <row r="315" ht="15.75" customHeight="1">
      <c r="D315" s="105"/>
    </row>
    <row r="316" ht="15.75" customHeight="1">
      <c r="D316" s="105"/>
    </row>
    <row r="317" ht="15.75" customHeight="1">
      <c r="D317" s="105"/>
    </row>
    <row r="318" ht="15.75" customHeight="1">
      <c r="D318" s="105"/>
    </row>
    <row r="319" ht="15.75" customHeight="1">
      <c r="D319" s="105"/>
    </row>
    <row r="320" ht="15.75" customHeight="1">
      <c r="D320" s="105"/>
    </row>
    <row r="321" ht="15.75" customHeight="1">
      <c r="D321" s="105"/>
    </row>
    <row r="322" ht="15.75" customHeight="1">
      <c r="D322" s="105"/>
    </row>
    <row r="323" ht="15.75" customHeight="1">
      <c r="D323" s="105"/>
    </row>
    <row r="324" ht="15.75" customHeight="1">
      <c r="D324" s="105"/>
    </row>
    <row r="325" ht="15.75" customHeight="1">
      <c r="D325" s="105"/>
    </row>
    <row r="326" ht="15.75" customHeight="1">
      <c r="D326" s="105"/>
    </row>
    <row r="327" ht="15.75" customHeight="1">
      <c r="D327" s="105"/>
    </row>
    <row r="328" ht="15.75" customHeight="1">
      <c r="D328" s="105"/>
    </row>
    <row r="329" ht="15.75" customHeight="1">
      <c r="D329" s="105"/>
    </row>
    <row r="330" ht="15.75" customHeight="1">
      <c r="D330" s="105"/>
    </row>
    <row r="331" ht="15.75" customHeight="1">
      <c r="D331" s="105"/>
    </row>
    <row r="332" ht="15.75" customHeight="1">
      <c r="D332" s="105"/>
    </row>
    <row r="333" ht="15.75" customHeight="1">
      <c r="D333" s="105"/>
    </row>
    <row r="334" ht="15.75" customHeight="1">
      <c r="D334" s="105"/>
    </row>
    <row r="335" ht="15.75" customHeight="1">
      <c r="D335" s="105"/>
    </row>
    <row r="336" ht="15.75" customHeight="1">
      <c r="D336" s="105"/>
    </row>
    <row r="337" ht="15.75" customHeight="1">
      <c r="D337" s="105"/>
    </row>
    <row r="338" ht="15.75" customHeight="1">
      <c r="D338" s="105"/>
    </row>
    <row r="339" ht="15.75" customHeight="1">
      <c r="D339" s="105"/>
    </row>
    <row r="340" ht="15.75" customHeight="1">
      <c r="D340" s="105"/>
    </row>
    <row r="341" ht="15.75" customHeight="1">
      <c r="D341" s="105"/>
    </row>
    <row r="342" ht="15.75" customHeight="1">
      <c r="D342" s="105"/>
    </row>
    <row r="343" ht="15.75" customHeight="1">
      <c r="D343" s="105"/>
    </row>
    <row r="344" ht="15.75" customHeight="1">
      <c r="D344" s="105"/>
    </row>
    <row r="345" ht="15.75" customHeight="1">
      <c r="D345" s="105"/>
    </row>
    <row r="346" ht="15.75" customHeight="1">
      <c r="D346" s="105"/>
    </row>
    <row r="347" ht="15.75" customHeight="1">
      <c r="D347" s="105"/>
    </row>
    <row r="348" ht="15.75" customHeight="1">
      <c r="D348" s="105"/>
    </row>
    <row r="349" ht="15.75" customHeight="1">
      <c r="D349" s="105"/>
    </row>
    <row r="350" ht="15.75" customHeight="1">
      <c r="D350" s="105"/>
    </row>
    <row r="351" ht="15.75" customHeight="1">
      <c r="D351" s="105"/>
    </row>
    <row r="352" ht="15.75" customHeight="1">
      <c r="D352" s="105"/>
    </row>
    <row r="353" ht="15.75" customHeight="1">
      <c r="D353" s="105"/>
    </row>
    <row r="354" ht="15.75" customHeight="1">
      <c r="D354" s="105"/>
    </row>
    <row r="355" ht="15.75" customHeight="1">
      <c r="D355" s="105"/>
    </row>
    <row r="356" ht="15.75" customHeight="1">
      <c r="D356" s="105"/>
    </row>
    <row r="357" ht="15.75" customHeight="1">
      <c r="D357" s="105"/>
    </row>
    <row r="358" ht="15.75" customHeight="1">
      <c r="D358" s="105"/>
    </row>
    <row r="359" ht="15.75" customHeight="1">
      <c r="D359" s="105"/>
    </row>
    <row r="360" ht="15.75" customHeight="1">
      <c r="D360" s="105"/>
    </row>
    <row r="361" ht="15.75" customHeight="1">
      <c r="D361" s="105"/>
    </row>
    <row r="362" ht="15.75" customHeight="1">
      <c r="D362" s="105"/>
    </row>
    <row r="363" ht="15.75" customHeight="1">
      <c r="D363" s="105"/>
    </row>
    <row r="364" ht="15.75" customHeight="1">
      <c r="D364" s="105"/>
    </row>
    <row r="365" ht="15.75" customHeight="1">
      <c r="D365" s="105"/>
    </row>
    <row r="366" ht="15.75" customHeight="1">
      <c r="D366" s="105"/>
    </row>
    <row r="367" ht="15.75" customHeight="1">
      <c r="D367" s="105"/>
    </row>
    <row r="368" ht="15.75" customHeight="1">
      <c r="D368" s="105"/>
    </row>
    <row r="369" ht="15.75" customHeight="1">
      <c r="D369" s="105"/>
    </row>
    <row r="370" ht="15.75" customHeight="1">
      <c r="D370" s="105"/>
    </row>
    <row r="371" ht="15.75" customHeight="1">
      <c r="D371" s="105"/>
    </row>
    <row r="372" ht="15.75" customHeight="1">
      <c r="D372" s="105"/>
    </row>
    <row r="373" ht="15.75" customHeight="1">
      <c r="D373" s="105"/>
    </row>
    <row r="374" ht="15.75" customHeight="1">
      <c r="D374" s="105"/>
    </row>
    <row r="375" ht="15.75" customHeight="1">
      <c r="D375" s="105"/>
    </row>
    <row r="376" ht="15.75" customHeight="1">
      <c r="D376" s="105"/>
    </row>
    <row r="377" ht="15.75" customHeight="1">
      <c r="D377" s="105"/>
    </row>
    <row r="378" ht="15.75" customHeight="1">
      <c r="D378" s="105"/>
    </row>
    <row r="379" ht="15.75" customHeight="1">
      <c r="D379" s="105"/>
    </row>
    <row r="380" ht="15.75" customHeight="1">
      <c r="D380" s="105"/>
    </row>
    <row r="381" ht="15.75" customHeight="1">
      <c r="D381" s="105"/>
    </row>
    <row r="382" ht="15.75" customHeight="1">
      <c r="D382" s="105"/>
    </row>
    <row r="383" ht="15.75" customHeight="1">
      <c r="D383" s="105"/>
    </row>
    <row r="384" ht="15.75" customHeight="1">
      <c r="D384" s="105"/>
    </row>
    <row r="385" ht="15.75" customHeight="1">
      <c r="D385" s="105"/>
    </row>
    <row r="386" ht="15.75" customHeight="1">
      <c r="D386" s="105"/>
    </row>
    <row r="387" ht="15.75" customHeight="1">
      <c r="D387" s="105"/>
    </row>
    <row r="388" ht="15.75" customHeight="1">
      <c r="D388" s="105"/>
    </row>
    <row r="389" ht="15.75" customHeight="1">
      <c r="D389" s="105"/>
    </row>
    <row r="390" ht="15.75" customHeight="1">
      <c r="D390" s="105"/>
    </row>
    <row r="391" ht="15.75" customHeight="1">
      <c r="D391" s="105"/>
    </row>
    <row r="392" ht="15.75" customHeight="1">
      <c r="D392" s="105"/>
    </row>
    <row r="393" ht="15.75" customHeight="1">
      <c r="D393" s="105"/>
    </row>
    <row r="394" ht="15.75" customHeight="1">
      <c r="D394" s="105"/>
    </row>
    <row r="395" ht="15.75" customHeight="1">
      <c r="D395" s="105"/>
    </row>
    <row r="396" ht="15.75" customHeight="1">
      <c r="D396" s="105"/>
    </row>
    <row r="397" ht="15.75" customHeight="1">
      <c r="D397" s="105"/>
    </row>
    <row r="398" ht="15.75" customHeight="1">
      <c r="D398" s="105"/>
    </row>
    <row r="399" ht="15.75" customHeight="1">
      <c r="D399" s="105"/>
    </row>
    <row r="400" ht="15.75" customHeight="1">
      <c r="D400" s="105"/>
    </row>
    <row r="401" ht="15.75" customHeight="1">
      <c r="D401" s="105"/>
    </row>
    <row r="402" ht="15.75" customHeight="1">
      <c r="D402" s="105"/>
    </row>
    <row r="403" ht="15.75" customHeight="1">
      <c r="D403" s="105"/>
    </row>
    <row r="404" ht="15.75" customHeight="1">
      <c r="D404" s="105"/>
    </row>
    <row r="405" ht="15.75" customHeight="1">
      <c r="D405" s="105"/>
    </row>
    <row r="406" ht="15.75" customHeight="1">
      <c r="D406" s="105"/>
    </row>
    <row r="407" ht="15.75" customHeight="1">
      <c r="D407" s="105"/>
    </row>
    <row r="408" ht="15.75" customHeight="1">
      <c r="D408" s="105"/>
    </row>
    <row r="409" ht="15.75" customHeight="1">
      <c r="D409" s="105"/>
    </row>
    <row r="410" ht="15.75" customHeight="1">
      <c r="D410" s="105"/>
    </row>
    <row r="411" ht="15.75" customHeight="1">
      <c r="D411" s="105"/>
    </row>
    <row r="412" ht="15.75" customHeight="1">
      <c r="D412" s="105"/>
    </row>
    <row r="413" ht="15.75" customHeight="1">
      <c r="D413" s="105"/>
    </row>
    <row r="414" ht="15.75" customHeight="1">
      <c r="D414" s="105"/>
    </row>
    <row r="415" ht="15.75" customHeight="1">
      <c r="D415" s="105"/>
    </row>
    <row r="416" ht="15.75" customHeight="1">
      <c r="D416" s="105"/>
    </row>
    <row r="417" ht="15.75" customHeight="1">
      <c r="D417" s="105"/>
    </row>
    <row r="418" ht="15.75" customHeight="1">
      <c r="D418" s="105"/>
    </row>
    <row r="419" ht="15.75" customHeight="1">
      <c r="D419" s="105"/>
    </row>
    <row r="420" ht="15.75" customHeight="1">
      <c r="D420" s="105"/>
    </row>
    <row r="421" ht="15.75" customHeight="1">
      <c r="D421" s="105"/>
    </row>
    <row r="422" ht="15.75" customHeight="1">
      <c r="D422" s="105"/>
    </row>
    <row r="423" ht="15.75" customHeight="1">
      <c r="D423" s="105"/>
    </row>
    <row r="424" ht="15.75" customHeight="1">
      <c r="D424" s="105"/>
    </row>
    <row r="425" ht="15.75" customHeight="1">
      <c r="D425" s="105"/>
    </row>
    <row r="426" ht="15.75" customHeight="1">
      <c r="D426" s="105"/>
    </row>
    <row r="427" ht="15.75" customHeight="1">
      <c r="D427" s="105"/>
    </row>
    <row r="428" ht="15.75" customHeight="1">
      <c r="D428" s="105"/>
    </row>
    <row r="429" ht="15.75" customHeight="1">
      <c r="D429" s="105"/>
    </row>
    <row r="430" ht="15.75" customHeight="1">
      <c r="D430" s="105"/>
    </row>
    <row r="431" ht="15.75" customHeight="1">
      <c r="D431" s="105"/>
    </row>
    <row r="432" ht="15.75" customHeight="1">
      <c r="D432" s="105"/>
    </row>
    <row r="433" ht="15.75" customHeight="1">
      <c r="D433" s="105"/>
    </row>
    <row r="434" ht="15.75" customHeight="1">
      <c r="D434" s="105"/>
    </row>
    <row r="435" ht="15.75" customHeight="1">
      <c r="D435" s="105"/>
    </row>
    <row r="436" ht="15.75" customHeight="1">
      <c r="D436" s="105"/>
    </row>
    <row r="437" ht="15.75" customHeight="1">
      <c r="D437" s="105"/>
    </row>
    <row r="438" ht="15.75" customHeight="1">
      <c r="D438" s="105"/>
    </row>
    <row r="439" ht="15.75" customHeight="1">
      <c r="D439" s="105"/>
    </row>
    <row r="440" ht="15.75" customHeight="1">
      <c r="D440" s="105"/>
    </row>
    <row r="441" ht="15.75" customHeight="1">
      <c r="D441" s="105"/>
    </row>
    <row r="442" ht="15.75" customHeight="1">
      <c r="D442" s="105"/>
    </row>
    <row r="443" ht="15.75" customHeight="1">
      <c r="D443" s="105"/>
    </row>
    <row r="444" ht="15.75" customHeight="1">
      <c r="D444" s="105"/>
    </row>
    <row r="445" ht="15.75" customHeight="1">
      <c r="D445" s="105"/>
    </row>
    <row r="446" ht="15.75" customHeight="1">
      <c r="D446" s="105"/>
    </row>
    <row r="447" ht="15.75" customHeight="1">
      <c r="D447" s="105"/>
    </row>
    <row r="448" ht="15.75" customHeight="1">
      <c r="D448" s="105"/>
    </row>
    <row r="449" ht="15.75" customHeight="1">
      <c r="D449" s="105"/>
    </row>
    <row r="450" ht="15.75" customHeight="1">
      <c r="D450" s="105"/>
    </row>
    <row r="451" ht="15.75" customHeight="1">
      <c r="D451" s="105"/>
    </row>
    <row r="452" ht="15.75" customHeight="1">
      <c r="D452" s="105"/>
    </row>
    <row r="453" ht="15.75" customHeight="1">
      <c r="D453" s="105"/>
    </row>
    <row r="454" ht="15.75" customHeight="1">
      <c r="D454" s="105"/>
    </row>
    <row r="455" ht="15.75" customHeight="1">
      <c r="D455" s="105"/>
    </row>
    <row r="456" ht="15.75" customHeight="1">
      <c r="D456" s="105"/>
    </row>
    <row r="457" ht="15.75" customHeight="1">
      <c r="D457" s="105"/>
    </row>
    <row r="458" ht="15.75" customHeight="1">
      <c r="D458" s="105"/>
    </row>
    <row r="459" ht="15.75" customHeight="1">
      <c r="D459" s="105"/>
    </row>
    <row r="460" ht="15.75" customHeight="1">
      <c r="D460" s="105"/>
    </row>
    <row r="461" ht="15.75" customHeight="1">
      <c r="D461" s="105"/>
    </row>
    <row r="462" ht="15.75" customHeight="1">
      <c r="D462" s="105"/>
    </row>
    <row r="463" ht="15.75" customHeight="1">
      <c r="D463" s="105"/>
    </row>
    <row r="464" ht="15.75" customHeight="1">
      <c r="D464" s="105"/>
    </row>
    <row r="465" ht="15.75" customHeight="1">
      <c r="D465" s="105"/>
    </row>
    <row r="466" ht="15.75" customHeight="1">
      <c r="D466" s="105"/>
    </row>
    <row r="467" ht="15.75" customHeight="1">
      <c r="D467" s="105"/>
    </row>
    <row r="468" ht="15.75" customHeight="1">
      <c r="D468" s="105"/>
    </row>
    <row r="469" ht="15.75" customHeight="1">
      <c r="D469" s="105"/>
    </row>
    <row r="470" ht="15.75" customHeight="1">
      <c r="D470" s="105"/>
    </row>
    <row r="471" ht="15.75" customHeight="1">
      <c r="D471" s="105"/>
    </row>
    <row r="472" ht="15.75" customHeight="1">
      <c r="D472" s="105"/>
    </row>
    <row r="473" ht="15.75" customHeight="1">
      <c r="D473" s="105"/>
    </row>
    <row r="474" ht="15.75" customHeight="1">
      <c r="D474" s="105"/>
    </row>
    <row r="475" ht="15.75" customHeight="1">
      <c r="D475" s="105"/>
    </row>
    <row r="476" ht="15.75" customHeight="1">
      <c r="D476" s="105"/>
    </row>
    <row r="477" ht="15.75" customHeight="1">
      <c r="D477" s="105"/>
    </row>
    <row r="478" ht="15.75" customHeight="1">
      <c r="D478" s="105"/>
    </row>
    <row r="479" ht="15.75" customHeight="1">
      <c r="D479" s="105"/>
    </row>
    <row r="480" ht="15.75" customHeight="1">
      <c r="D480" s="105"/>
    </row>
    <row r="481" ht="15.75" customHeight="1">
      <c r="D481" s="105"/>
    </row>
    <row r="482" ht="15.75" customHeight="1">
      <c r="D482" s="105"/>
    </row>
    <row r="483" ht="15.75" customHeight="1">
      <c r="D483" s="105"/>
    </row>
    <row r="484" ht="15.75" customHeight="1">
      <c r="D484" s="105"/>
    </row>
    <row r="485" ht="15.75" customHeight="1">
      <c r="D485" s="105"/>
    </row>
    <row r="486" ht="15.75" customHeight="1">
      <c r="D486" s="105"/>
    </row>
    <row r="487" ht="15.75" customHeight="1">
      <c r="D487" s="105"/>
    </row>
    <row r="488" ht="15.75" customHeight="1">
      <c r="D488" s="105"/>
    </row>
    <row r="489" ht="15.75" customHeight="1">
      <c r="D489" s="105"/>
    </row>
    <row r="490" ht="15.75" customHeight="1">
      <c r="D490" s="105"/>
    </row>
    <row r="491" ht="15.75" customHeight="1">
      <c r="D491" s="105"/>
    </row>
    <row r="492" ht="15.75" customHeight="1">
      <c r="D492" s="105"/>
    </row>
    <row r="493" ht="15.75" customHeight="1">
      <c r="D493" s="105"/>
    </row>
    <row r="494" ht="15.75" customHeight="1">
      <c r="D494" s="105"/>
    </row>
    <row r="495" ht="15.75" customHeight="1">
      <c r="D495" s="105"/>
    </row>
    <row r="496" ht="15.75" customHeight="1">
      <c r="D496" s="105"/>
    </row>
    <row r="497" ht="15.75" customHeight="1">
      <c r="D497" s="105"/>
    </row>
    <row r="498" ht="15.75" customHeight="1">
      <c r="D498" s="105"/>
    </row>
    <row r="499" ht="15.75" customHeight="1">
      <c r="D499" s="105"/>
    </row>
    <row r="500" ht="15.75" customHeight="1">
      <c r="D500" s="105"/>
    </row>
    <row r="501" ht="15.75" customHeight="1">
      <c r="D501" s="105"/>
    </row>
    <row r="502" ht="15.75" customHeight="1">
      <c r="D502" s="105"/>
    </row>
    <row r="503" ht="15.75" customHeight="1">
      <c r="D503" s="105"/>
    </row>
    <row r="504" ht="15.75" customHeight="1">
      <c r="D504" s="105"/>
    </row>
    <row r="505" ht="15.75" customHeight="1">
      <c r="D505" s="105"/>
    </row>
    <row r="506" ht="15.75" customHeight="1">
      <c r="D506" s="105"/>
    </row>
    <row r="507" ht="15.75" customHeight="1">
      <c r="D507" s="105"/>
    </row>
    <row r="508" ht="15.75" customHeight="1">
      <c r="D508" s="105"/>
    </row>
    <row r="509" ht="15.75" customHeight="1">
      <c r="D509" s="105"/>
    </row>
    <row r="510" ht="15.75" customHeight="1">
      <c r="D510" s="105"/>
    </row>
    <row r="511" ht="15.75" customHeight="1">
      <c r="D511" s="105"/>
    </row>
    <row r="512" ht="15.75" customHeight="1">
      <c r="D512" s="105"/>
    </row>
    <row r="513" ht="15.75" customHeight="1">
      <c r="D513" s="105"/>
    </row>
    <row r="514" ht="15.75" customHeight="1">
      <c r="D514" s="105"/>
    </row>
    <row r="515" ht="15.75" customHeight="1">
      <c r="D515" s="105"/>
    </row>
    <row r="516" ht="15.75" customHeight="1">
      <c r="D516" s="105"/>
    </row>
    <row r="517" ht="15.75" customHeight="1">
      <c r="D517" s="105"/>
    </row>
    <row r="518" ht="15.75" customHeight="1">
      <c r="D518" s="105"/>
    </row>
    <row r="519" ht="15.75" customHeight="1">
      <c r="D519" s="105"/>
    </row>
    <row r="520" ht="15.75" customHeight="1">
      <c r="D520" s="105"/>
    </row>
    <row r="521" ht="15.75" customHeight="1">
      <c r="D521" s="105"/>
    </row>
    <row r="522" ht="15.75" customHeight="1">
      <c r="D522" s="105"/>
    </row>
    <row r="523" ht="15.75" customHeight="1">
      <c r="D523" s="105"/>
    </row>
    <row r="524" ht="15.75" customHeight="1">
      <c r="D524" s="105"/>
    </row>
    <row r="525" ht="15.75" customHeight="1">
      <c r="D525" s="105"/>
    </row>
    <row r="526" ht="15.75" customHeight="1">
      <c r="D526" s="105"/>
    </row>
    <row r="527" ht="15.75" customHeight="1">
      <c r="D527" s="105"/>
    </row>
    <row r="528" ht="15.75" customHeight="1">
      <c r="D528" s="105"/>
    </row>
    <row r="529" ht="15.75" customHeight="1">
      <c r="D529" s="105"/>
    </row>
    <row r="530" ht="15.75" customHeight="1">
      <c r="D530" s="105"/>
    </row>
    <row r="531" ht="15.75" customHeight="1">
      <c r="D531" s="105"/>
    </row>
    <row r="532" ht="15.75" customHeight="1">
      <c r="D532" s="105"/>
    </row>
    <row r="533" ht="15.75" customHeight="1">
      <c r="D533" s="105"/>
    </row>
    <row r="534" ht="15.75" customHeight="1">
      <c r="D534" s="105"/>
    </row>
    <row r="535" ht="15.75" customHeight="1">
      <c r="D535" s="105"/>
    </row>
    <row r="536" ht="15.75" customHeight="1">
      <c r="D536" s="105"/>
    </row>
    <row r="537" ht="15.75" customHeight="1">
      <c r="D537" s="105"/>
    </row>
    <row r="538" ht="15.75" customHeight="1">
      <c r="D538" s="105"/>
    </row>
    <row r="539" ht="15.75" customHeight="1">
      <c r="D539" s="105"/>
    </row>
    <row r="540" ht="15.75" customHeight="1">
      <c r="D540" s="105"/>
    </row>
    <row r="541" ht="15.75" customHeight="1">
      <c r="D541" s="105"/>
    </row>
    <row r="542" ht="15.75" customHeight="1">
      <c r="D542" s="105"/>
    </row>
    <row r="543" ht="15.75" customHeight="1">
      <c r="D543" s="105"/>
    </row>
    <row r="544" ht="15.75" customHeight="1">
      <c r="D544" s="105"/>
    </row>
    <row r="545" ht="15.75" customHeight="1">
      <c r="D545" s="105"/>
    </row>
    <row r="546" ht="15.75" customHeight="1">
      <c r="D546" s="105"/>
    </row>
    <row r="547" ht="15.75" customHeight="1">
      <c r="D547" s="105"/>
    </row>
    <row r="548" ht="15.75" customHeight="1">
      <c r="D548" s="105"/>
    </row>
    <row r="549" ht="15.75" customHeight="1">
      <c r="D549" s="105"/>
    </row>
    <row r="550" ht="15.75" customHeight="1">
      <c r="D550" s="105"/>
    </row>
    <row r="551" ht="15.75" customHeight="1">
      <c r="D551" s="105"/>
    </row>
    <row r="552" ht="15.75" customHeight="1">
      <c r="D552" s="105"/>
    </row>
    <row r="553" ht="15.75" customHeight="1">
      <c r="D553" s="105"/>
    </row>
    <row r="554" ht="15.75" customHeight="1">
      <c r="D554" s="105"/>
    </row>
    <row r="555" ht="15.75" customHeight="1">
      <c r="D555" s="105"/>
    </row>
    <row r="556" ht="15.75" customHeight="1">
      <c r="D556" s="105"/>
    </row>
    <row r="557" ht="15.75" customHeight="1">
      <c r="D557" s="105"/>
    </row>
    <row r="558" ht="15.75" customHeight="1">
      <c r="D558" s="105"/>
    </row>
    <row r="559" ht="15.75" customHeight="1">
      <c r="D559" s="105"/>
    </row>
    <row r="560" ht="15.75" customHeight="1">
      <c r="D560" s="105"/>
    </row>
    <row r="561" ht="15.75" customHeight="1">
      <c r="D561" s="105"/>
    </row>
    <row r="562" ht="15.75" customHeight="1">
      <c r="D562" s="105"/>
    </row>
    <row r="563" ht="15.75" customHeight="1">
      <c r="D563" s="105"/>
    </row>
    <row r="564" ht="15.75" customHeight="1">
      <c r="D564" s="105"/>
    </row>
    <row r="565" ht="15.75" customHeight="1">
      <c r="D565" s="105"/>
    </row>
    <row r="566" ht="15.75" customHeight="1">
      <c r="D566" s="105"/>
    </row>
    <row r="567" ht="15.75" customHeight="1">
      <c r="D567" s="105"/>
    </row>
    <row r="568" ht="15.75" customHeight="1">
      <c r="D568" s="105"/>
    </row>
    <row r="569" ht="15.75" customHeight="1">
      <c r="D569" s="105"/>
    </row>
    <row r="570" ht="15.75" customHeight="1">
      <c r="D570" s="105"/>
    </row>
    <row r="571" ht="15.75" customHeight="1">
      <c r="D571" s="105"/>
    </row>
    <row r="572" ht="15.75" customHeight="1">
      <c r="D572" s="105"/>
    </row>
    <row r="573" ht="15.75" customHeight="1">
      <c r="D573" s="105"/>
    </row>
    <row r="574" ht="15.75" customHeight="1">
      <c r="D574" s="105"/>
    </row>
    <row r="575" ht="15.75" customHeight="1">
      <c r="D575" s="105"/>
    </row>
    <row r="576" ht="15.75" customHeight="1">
      <c r="D576" s="105"/>
    </row>
    <row r="577" ht="15.75" customHeight="1">
      <c r="D577" s="105"/>
    </row>
    <row r="578" ht="15.75" customHeight="1">
      <c r="D578" s="105"/>
    </row>
    <row r="579" ht="15.75" customHeight="1">
      <c r="D579" s="105"/>
    </row>
    <row r="580" ht="15.75" customHeight="1">
      <c r="D580" s="105"/>
    </row>
    <row r="581" ht="15.75" customHeight="1">
      <c r="D581" s="105"/>
    </row>
    <row r="582" ht="15.75" customHeight="1">
      <c r="D582" s="105"/>
    </row>
    <row r="583" ht="15.75" customHeight="1">
      <c r="D583" s="105"/>
    </row>
    <row r="584" ht="15.75" customHeight="1">
      <c r="D584" s="105"/>
    </row>
    <row r="585" ht="15.75" customHeight="1">
      <c r="D585" s="105"/>
    </row>
    <row r="586" ht="15.75" customHeight="1">
      <c r="D586" s="105"/>
    </row>
    <row r="587" ht="15.75" customHeight="1">
      <c r="D587" s="105"/>
    </row>
    <row r="588" ht="15.75" customHeight="1">
      <c r="D588" s="105"/>
    </row>
    <row r="589" ht="15.75" customHeight="1">
      <c r="D589" s="105"/>
    </row>
    <row r="590" ht="15.75" customHeight="1">
      <c r="D590" s="105"/>
    </row>
    <row r="591" ht="15.75" customHeight="1">
      <c r="D591" s="105"/>
    </row>
    <row r="592" ht="15.75" customHeight="1">
      <c r="D592" s="105"/>
    </row>
    <row r="593" ht="15.75" customHeight="1">
      <c r="D593" s="105"/>
    </row>
    <row r="594" ht="15.75" customHeight="1">
      <c r="D594" s="105"/>
    </row>
    <row r="595" ht="15.75" customHeight="1">
      <c r="D595" s="105"/>
    </row>
    <row r="596" ht="15.75" customHeight="1">
      <c r="D596" s="105"/>
    </row>
    <row r="597" ht="15.75" customHeight="1">
      <c r="D597" s="105"/>
    </row>
    <row r="598" ht="15.75" customHeight="1">
      <c r="D598" s="105"/>
    </row>
    <row r="599" ht="15.75" customHeight="1">
      <c r="D599" s="105"/>
    </row>
    <row r="600" ht="15.75" customHeight="1">
      <c r="D600" s="105"/>
    </row>
    <row r="601" ht="15.75" customHeight="1">
      <c r="D601" s="105"/>
    </row>
    <row r="602" ht="15.75" customHeight="1">
      <c r="D602" s="105"/>
    </row>
    <row r="603" ht="15.75" customHeight="1">
      <c r="D603" s="105"/>
    </row>
    <row r="604" ht="15.75" customHeight="1">
      <c r="D604" s="105"/>
    </row>
    <row r="605" ht="15.75" customHeight="1">
      <c r="D605" s="105"/>
    </row>
    <row r="606" ht="15.75" customHeight="1">
      <c r="D606" s="105"/>
    </row>
    <row r="607" ht="15.75" customHeight="1">
      <c r="D607" s="105"/>
    </row>
    <row r="608" ht="15.75" customHeight="1">
      <c r="D608" s="105"/>
    </row>
    <row r="609" ht="15.75" customHeight="1">
      <c r="D609" s="105"/>
    </row>
    <row r="610" ht="15.75" customHeight="1">
      <c r="D610" s="105"/>
    </row>
    <row r="611" ht="15.75" customHeight="1">
      <c r="D611" s="105"/>
    </row>
    <row r="612" ht="15.75" customHeight="1">
      <c r="D612" s="105"/>
    </row>
    <row r="613" ht="15.75" customHeight="1">
      <c r="D613" s="105"/>
    </row>
    <row r="614" ht="15.75" customHeight="1">
      <c r="D614" s="105"/>
    </row>
    <row r="615" ht="15.75" customHeight="1">
      <c r="D615" s="105"/>
    </row>
    <row r="616" ht="15.75" customHeight="1">
      <c r="D616" s="105"/>
    </row>
    <row r="617" ht="15.75" customHeight="1">
      <c r="D617" s="105"/>
    </row>
    <row r="618" ht="15.75" customHeight="1">
      <c r="D618" s="105"/>
    </row>
    <row r="619" ht="15.75" customHeight="1">
      <c r="D619" s="105"/>
    </row>
    <row r="620" ht="15.75" customHeight="1">
      <c r="D620" s="105"/>
    </row>
    <row r="621" ht="15.75" customHeight="1">
      <c r="D621" s="105"/>
    </row>
    <row r="622" ht="15.75" customHeight="1">
      <c r="D622" s="105"/>
    </row>
    <row r="623" ht="15.75" customHeight="1">
      <c r="D623" s="105"/>
    </row>
    <row r="624" ht="15.75" customHeight="1">
      <c r="D624" s="105"/>
    </row>
    <row r="625" ht="15.75" customHeight="1">
      <c r="D625" s="105"/>
    </row>
    <row r="626" ht="15.75" customHeight="1">
      <c r="D626" s="105"/>
    </row>
    <row r="627" ht="15.75" customHeight="1">
      <c r="D627" s="105"/>
    </row>
    <row r="628" ht="15.75" customHeight="1">
      <c r="D628" s="105"/>
    </row>
    <row r="629" ht="15.75" customHeight="1">
      <c r="D629" s="105"/>
    </row>
    <row r="630" ht="15.75" customHeight="1">
      <c r="D630" s="105"/>
    </row>
    <row r="631" ht="15.75" customHeight="1">
      <c r="D631" s="105"/>
    </row>
    <row r="632" ht="15.75" customHeight="1">
      <c r="D632" s="105"/>
    </row>
    <row r="633" ht="15.75" customHeight="1">
      <c r="D633" s="105"/>
    </row>
    <row r="634" ht="15.75" customHeight="1">
      <c r="D634" s="105"/>
    </row>
    <row r="635" ht="15.75" customHeight="1">
      <c r="D635" s="105"/>
    </row>
    <row r="636" ht="15.75" customHeight="1">
      <c r="D636" s="105"/>
    </row>
    <row r="637" ht="15.75" customHeight="1">
      <c r="D637" s="105"/>
    </row>
    <row r="638" ht="15.75" customHeight="1">
      <c r="D638" s="105"/>
    </row>
    <row r="639" ht="15.75" customHeight="1">
      <c r="D639" s="105"/>
    </row>
    <row r="640" ht="15.75" customHeight="1">
      <c r="D640" s="105"/>
    </row>
    <row r="641" ht="15.75" customHeight="1">
      <c r="D641" s="105"/>
    </row>
    <row r="642" ht="15.75" customHeight="1">
      <c r="D642" s="105"/>
    </row>
    <row r="643" ht="15.75" customHeight="1">
      <c r="D643" s="105"/>
    </row>
    <row r="644" ht="15.75" customHeight="1">
      <c r="D644" s="105"/>
    </row>
    <row r="645" ht="15.75" customHeight="1">
      <c r="D645" s="105"/>
    </row>
    <row r="646" ht="15.75" customHeight="1">
      <c r="D646" s="105"/>
    </row>
    <row r="647" ht="15.75" customHeight="1">
      <c r="D647" s="105"/>
    </row>
    <row r="648" ht="15.75" customHeight="1">
      <c r="D648" s="105"/>
    </row>
    <row r="649" ht="15.75" customHeight="1">
      <c r="D649" s="105"/>
    </row>
    <row r="650" ht="15.75" customHeight="1">
      <c r="D650" s="105"/>
    </row>
    <row r="651" ht="15.75" customHeight="1">
      <c r="D651" s="105"/>
    </row>
    <row r="652" ht="15.75" customHeight="1">
      <c r="D652" s="105"/>
    </row>
    <row r="653" ht="15.75" customHeight="1">
      <c r="D653" s="105"/>
    </row>
    <row r="654" ht="15.75" customHeight="1">
      <c r="D654" s="105"/>
    </row>
    <row r="655" ht="15.75" customHeight="1">
      <c r="D655" s="105"/>
    </row>
    <row r="656" ht="15.75" customHeight="1">
      <c r="D656" s="105"/>
    </row>
    <row r="657" ht="15.75" customHeight="1">
      <c r="D657" s="105"/>
    </row>
    <row r="658" ht="15.75" customHeight="1">
      <c r="D658" s="105"/>
    </row>
    <row r="659" ht="15.75" customHeight="1">
      <c r="D659" s="105"/>
    </row>
    <row r="660" ht="15.75" customHeight="1">
      <c r="D660" s="105"/>
    </row>
    <row r="661" ht="15.75" customHeight="1">
      <c r="D661" s="105"/>
    </row>
    <row r="662" ht="15.75" customHeight="1">
      <c r="D662" s="105"/>
    </row>
    <row r="663" ht="15.75" customHeight="1">
      <c r="D663" s="105"/>
    </row>
    <row r="664" ht="15.75" customHeight="1">
      <c r="D664" s="105"/>
    </row>
    <row r="665" ht="15.75" customHeight="1">
      <c r="D665" s="105"/>
    </row>
    <row r="666" ht="15.75" customHeight="1">
      <c r="D666" s="105"/>
    </row>
    <row r="667" ht="15.75" customHeight="1">
      <c r="D667" s="105"/>
    </row>
    <row r="668" ht="15.75" customHeight="1">
      <c r="D668" s="105"/>
    </row>
    <row r="669" ht="15.75" customHeight="1">
      <c r="D669" s="105"/>
    </row>
    <row r="670" ht="15.75" customHeight="1">
      <c r="D670" s="105"/>
    </row>
    <row r="671" ht="15.75" customHeight="1">
      <c r="D671" s="105"/>
    </row>
    <row r="672" ht="15.75" customHeight="1">
      <c r="D672" s="105"/>
    </row>
    <row r="673" ht="15.75" customHeight="1">
      <c r="D673" s="105"/>
    </row>
    <row r="674" ht="15.75" customHeight="1">
      <c r="D674" s="105"/>
    </row>
    <row r="675" ht="15.75" customHeight="1">
      <c r="D675" s="105"/>
    </row>
    <row r="676" ht="15.75" customHeight="1">
      <c r="D676" s="105"/>
    </row>
    <row r="677" ht="15.75" customHeight="1">
      <c r="D677" s="105"/>
    </row>
    <row r="678" ht="15.75" customHeight="1">
      <c r="D678" s="105"/>
    </row>
    <row r="679" ht="15.75" customHeight="1">
      <c r="D679" s="105"/>
    </row>
    <row r="680" ht="15.75" customHeight="1">
      <c r="D680" s="105"/>
    </row>
    <row r="681" ht="15.75" customHeight="1">
      <c r="D681" s="105"/>
    </row>
    <row r="682" ht="15.75" customHeight="1">
      <c r="D682" s="105"/>
    </row>
    <row r="683" ht="15.75" customHeight="1">
      <c r="D683" s="105"/>
    </row>
    <row r="684" ht="15.75" customHeight="1">
      <c r="D684" s="105"/>
    </row>
    <row r="685" ht="15.75" customHeight="1">
      <c r="D685" s="105"/>
    </row>
    <row r="686" ht="15.75" customHeight="1">
      <c r="D686" s="105"/>
    </row>
    <row r="687" ht="15.75" customHeight="1">
      <c r="D687" s="105"/>
    </row>
    <row r="688" ht="15.75" customHeight="1">
      <c r="D688" s="105"/>
    </row>
    <row r="689" ht="15.75" customHeight="1">
      <c r="D689" s="105"/>
    </row>
    <row r="690" ht="15.75" customHeight="1">
      <c r="D690" s="105"/>
    </row>
    <row r="691" ht="15.75" customHeight="1">
      <c r="D691" s="105"/>
    </row>
    <row r="692" ht="15.75" customHeight="1">
      <c r="D692" s="105"/>
    </row>
    <row r="693" ht="15.75" customHeight="1">
      <c r="D693" s="105"/>
    </row>
    <row r="694" ht="15.75" customHeight="1">
      <c r="D694" s="105"/>
    </row>
    <row r="695" ht="15.75" customHeight="1">
      <c r="D695" s="105"/>
    </row>
    <row r="696" ht="15.75" customHeight="1">
      <c r="D696" s="105"/>
    </row>
    <row r="697" ht="15.75" customHeight="1">
      <c r="D697" s="105"/>
    </row>
    <row r="698" ht="15.75" customHeight="1">
      <c r="D698" s="105"/>
    </row>
    <row r="699" ht="15.75" customHeight="1">
      <c r="D699" s="105"/>
    </row>
    <row r="700" ht="15.75" customHeight="1">
      <c r="D700" s="105"/>
    </row>
    <row r="701" ht="15.75" customHeight="1">
      <c r="D701" s="105"/>
    </row>
    <row r="702" ht="15.75" customHeight="1">
      <c r="D702" s="105"/>
    </row>
    <row r="703" ht="15.75" customHeight="1">
      <c r="D703" s="105"/>
    </row>
    <row r="704" ht="15.75" customHeight="1">
      <c r="D704" s="105"/>
    </row>
    <row r="705" ht="15.75" customHeight="1">
      <c r="D705" s="105"/>
    </row>
    <row r="706" ht="15.75" customHeight="1">
      <c r="D706" s="105"/>
    </row>
    <row r="707" ht="15.75" customHeight="1">
      <c r="D707" s="105"/>
    </row>
    <row r="708" ht="15.75" customHeight="1">
      <c r="D708" s="105"/>
    </row>
    <row r="709" ht="15.75" customHeight="1">
      <c r="D709" s="105"/>
    </row>
    <row r="710" ht="15.75" customHeight="1">
      <c r="D710" s="105"/>
    </row>
    <row r="711" ht="15.75" customHeight="1">
      <c r="D711" s="105"/>
    </row>
    <row r="712" ht="15.75" customHeight="1">
      <c r="D712" s="105"/>
    </row>
    <row r="713" ht="15.75" customHeight="1">
      <c r="D713" s="105"/>
    </row>
    <row r="714" ht="15.75" customHeight="1">
      <c r="D714" s="105"/>
    </row>
    <row r="715" ht="15.75" customHeight="1">
      <c r="D715" s="105"/>
    </row>
    <row r="716" ht="15.75" customHeight="1">
      <c r="D716" s="105"/>
    </row>
    <row r="717" ht="15.75" customHeight="1">
      <c r="D717" s="105"/>
    </row>
    <row r="718" ht="15.75" customHeight="1">
      <c r="D718" s="105"/>
    </row>
    <row r="719" ht="15.75" customHeight="1">
      <c r="D719" s="105"/>
    </row>
    <row r="720" ht="15.75" customHeight="1">
      <c r="D720" s="105"/>
    </row>
    <row r="721" ht="15.75" customHeight="1">
      <c r="D721" s="105"/>
    </row>
    <row r="722" ht="15.75" customHeight="1">
      <c r="D722" s="105"/>
    </row>
    <row r="723" ht="15.75" customHeight="1">
      <c r="D723" s="105"/>
    </row>
    <row r="724" ht="15.75" customHeight="1">
      <c r="D724" s="105"/>
    </row>
    <row r="725" ht="15.75" customHeight="1">
      <c r="D725" s="105"/>
    </row>
    <row r="726" ht="15.75" customHeight="1">
      <c r="D726" s="105"/>
    </row>
    <row r="727" ht="15.75" customHeight="1">
      <c r="D727" s="105"/>
    </row>
    <row r="728" ht="15.75" customHeight="1">
      <c r="D728" s="105"/>
    </row>
    <row r="729" ht="15.75" customHeight="1">
      <c r="D729" s="105"/>
    </row>
    <row r="730" ht="15.75" customHeight="1">
      <c r="D730" s="105"/>
    </row>
    <row r="731" ht="15.75" customHeight="1">
      <c r="D731" s="105"/>
    </row>
    <row r="732" ht="15.75" customHeight="1">
      <c r="D732" s="105"/>
    </row>
    <row r="733" ht="15.75" customHeight="1">
      <c r="D733" s="105"/>
    </row>
    <row r="734" ht="15.75" customHeight="1">
      <c r="D734" s="105"/>
    </row>
    <row r="735" ht="15.75" customHeight="1">
      <c r="D735" s="105"/>
    </row>
    <row r="736" ht="15.75" customHeight="1">
      <c r="D736" s="105"/>
    </row>
    <row r="737" ht="15.75" customHeight="1">
      <c r="D737" s="105"/>
    </row>
    <row r="738" ht="15.75" customHeight="1">
      <c r="D738" s="105"/>
    </row>
    <row r="739" ht="15.75" customHeight="1">
      <c r="D739" s="105"/>
    </row>
    <row r="740" ht="15.75" customHeight="1">
      <c r="D740" s="105"/>
    </row>
    <row r="741" ht="15.75" customHeight="1">
      <c r="D741" s="105"/>
    </row>
    <row r="742" ht="15.75" customHeight="1">
      <c r="D742" s="105"/>
    </row>
    <row r="743" ht="15.75" customHeight="1">
      <c r="D743" s="105"/>
    </row>
    <row r="744" ht="15.75" customHeight="1">
      <c r="D744" s="105"/>
    </row>
    <row r="745" ht="15.75" customHeight="1">
      <c r="D745" s="105"/>
    </row>
    <row r="746" ht="15.75" customHeight="1">
      <c r="D746" s="105"/>
    </row>
    <row r="747" ht="15.75" customHeight="1">
      <c r="D747" s="105"/>
    </row>
    <row r="748" ht="15.75" customHeight="1">
      <c r="D748" s="105"/>
    </row>
    <row r="749" ht="15.75" customHeight="1">
      <c r="D749" s="105"/>
    </row>
    <row r="750" ht="15.75" customHeight="1">
      <c r="D750" s="105"/>
    </row>
    <row r="751" ht="15.75" customHeight="1">
      <c r="D751" s="105"/>
    </row>
    <row r="752" ht="15.75" customHeight="1">
      <c r="D752" s="105"/>
    </row>
    <row r="753" ht="15.75" customHeight="1">
      <c r="D753" s="105"/>
    </row>
    <row r="754" ht="15.75" customHeight="1">
      <c r="D754" s="105"/>
    </row>
    <row r="755" ht="15.75" customHeight="1">
      <c r="D755" s="105"/>
    </row>
    <row r="756" ht="15.75" customHeight="1">
      <c r="D756" s="105"/>
    </row>
    <row r="757" ht="15.75" customHeight="1">
      <c r="D757" s="105"/>
    </row>
    <row r="758" ht="15.75" customHeight="1">
      <c r="D758" s="105"/>
    </row>
    <row r="759" ht="15.75" customHeight="1">
      <c r="D759" s="105"/>
    </row>
    <row r="760" ht="15.75" customHeight="1">
      <c r="D760" s="105"/>
    </row>
    <row r="761" ht="15.75" customHeight="1">
      <c r="D761" s="105"/>
    </row>
    <row r="762" ht="15.75" customHeight="1">
      <c r="D762" s="105"/>
    </row>
    <row r="763" ht="15.75" customHeight="1">
      <c r="D763" s="105"/>
    </row>
    <row r="764" ht="15.75" customHeight="1">
      <c r="D764" s="105"/>
    </row>
    <row r="765" ht="15.75" customHeight="1">
      <c r="D765" s="105"/>
    </row>
    <row r="766" ht="15.75" customHeight="1">
      <c r="D766" s="105"/>
    </row>
    <row r="767" ht="15.75" customHeight="1">
      <c r="D767" s="105"/>
    </row>
    <row r="768" ht="15.75" customHeight="1">
      <c r="D768" s="105"/>
    </row>
    <row r="769" ht="15.75" customHeight="1">
      <c r="D769" s="105"/>
    </row>
    <row r="770" ht="15.75" customHeight="1">
      <c r="D770" s="105"/>
    </row>
    <row r="771" ht="15.75" customHeight="1">
      <c r="D771" s="105"/>
    </row>
    <row r="772" ht="15.75" customHeight="1">
      <c r="D772" s="105"/>
    </row>
    <row r="773" ht="15.75" customHeight="1">
      <c r="D773" s="105"/>
    </row>
    <row r="774" ht="15.75" customHeight="1">
      <c r="D774" s="105"/>
    </row>
    <row r="775" ht="15.75" customHeight="1">
      <c r="D775" s="105"/>
    </row>
    <row r="776" ht="15.75" customHeight="1">
      <c r="D776" s="105"/>
    </row>
    <row r="777" ht="15.75" customHeight="1">
      <c r="D777" s="105"/>
    </row>
    <row r="778" ht="15.75" customHeight="1">
      <c r="D778" s="105"/>
    </row>
    <row r="779" ht="15.75" customHeight="1">
      <c r="D779" s="105"/>
    </row>
    <row r="780" ht="15.75" customHeight="1">
      <c r="D780" s="105"/>
    </row>
    <row r="781" ht="15.75" customHeight="1">
      <c r="D781" s="105"/>
    </row>
    <row r="782" ht="15.75" customHeight="1">
      <c r="D782" s="105"/>
    </row>
    <row r="783" ht="15.75" customHeight="1">
      <c r="D783" s="105"/>
    </row>
    <row r="784" ht="15.75" customHeight="1">
      <c r="D784" s="105"/>
    </row>
    <row r="785" ht="15.75" customHeight="1">
      <c r="D785" s="105"/>
    </row>
    <row r="786" ht="15.75" customHeight="1">
      <c r="D786" s="105"/>
    </row>
    <row r="787" ht="15.75" customHeight="1">
      <c r="D787" s="105"/>
    </row>
    <row r="788" ht="15.75" customHeight="1">
      <c r="D788" s="105"/>
    </row>
    <row r="789" ht="15.75" customHeight="1">
      <c r="D789" s="105"/>
    </row>
    <row r="790" ht="15.75" customHeight="1">
      <c r="D790" s="105"/>
    </row>
    <row r="791" ht="15.75" customHeight="1">
      <c r="D791" s="105"/>
    </row>
    <row r="792" ht="15.75" customHeight="1">
      <c r="D792" s="105"/>
    </row>
    <row r="793" ht="15.75" customHeight="1">
      <c r="D793" s="105"/>
    </row>
    <row r="794" ht="15.75" customHeight="1">
      <c r="D794" s="105"/>
    </row>
    <row r="795" ht="15.75" customHeight="1">
      <c r="D795" s="105"/>
    </row>
    <row r="796" ht="15.75" customHeight="1">
      <c r="D796" s="105"/>
    </row>
    <row r="797" ht="15.75" customHeight="1">
      <c r="D797" s="105"/>
    </row>
    <row r="798" ht="15.75" customHeight="1">
      <c r="D798" s="105"/>
    </row>
    <row r="799" ht="15.75" customHeight="1">
      <c r="D799" s="105"/>
    </row>
    <row r="800" ht="15.75" customHeight="1">
      <c r="D800" s="105"/>
    </row>
    <row r="801" ht="15.75" customHeight="1">
      <c r="D801" s="105"/>
    </row>
    <row r="802" ht="15.75" customHeight="1">
      <c r="D802" s="105"/>
    </row>
    <row r="803" ht="15.75" customHeight="1">
      <c r="D803" s="105"/>
    </row>
    <row r="804" ht="15.75" customHeight="1">
      <c r="D804" s="105"/>
    </row>
    <row r="805" ht="15.75" customHeight="1">
      <c r="D805" s="105"/>
    </row>
    <row r="806" ht="15.75" customHeight="1">
      <c r="D806" s="105"/>
    </row>
    <row r="807" ht="15.75" customHeight="1">
      <c r="D807" s="105"/>
    </row>
    <row r="808" ht="15.75" customHeight="1">
      <c r="D808" s="105"/>
    </row>
    <row r="809" ht="15.75" customHeight="1">
      <c r="D809" s="105"/>
    </row>
    <row r="810" ht="15.75" customHeight="1">
      <c r="D810" s="105"/>
    </row>
    <row r="811" ht="15.75" customHeight="1">
      <c r="D811" s="105"/>
    </row>
    <row r="812" ht="15.75" customHeight="1">
      <c r="D812" s="105"/>
    </row>
    <row r="813" ht="15.75" customHeight="1">
      <c r="D813" s="105"/>
    </row>
    <row r="814" ht="15.75" customHeight="1">
      <c r="D814" s="105"/>
    </row>
    <row r="815" ht="15.75" customHeight="1">
      <c r="D815" s="105"/>
    </row>
    <row r="816" ht="15.75" customHeight="1">
      <c r="D816" s="105"/>
    </row>
    <row r="817" ht="15.75" customHeight="1">
      <c r="D817" s="105"/>
    </row>
    <row r="818" ht="15.75" customHeight="1">
      <c r="D818" s="105"/>
    </row>
    <row r="819" ht="15.75" customHeight="1">
      <c r="D819" s="105"/>
    </row>
    <row r="820" ht="15.75" customHeight="1">
      <c r="D820" s="105"/>
    </row>
    <row r="821" ht="15.75" customHeight="1">
      <c r="D821" s="105"/>
    </row>
    <row r="822" ht="15.75" customHeight="1">
      <c r="D822" s="105"/>
    </row>
    <row r="823" ht="15.75" customHeight="1">
      <c r="D823" s="105"/>
    </row>
    <row r="824" ht="15.75" customHeight="1">
      <c r="D824" s="105"/>
    </row>
    <row r="825" ht="15.75" customHeight="1">
      <c r="D825" s="105"/>
    </row>
    <row r="826" ht="15.75" customHeight="1">
      <c r="D826" s="105"/>
    </row>
    <row r="827" ht="15.75" customHeight="1">
      <c r="D827" s="105"/>
    </row>
    <row r="828" ht="15.75" customHeight="1">
      <c r="D828" s="105"/>
    </row>
    <row r="829" ht="15.75" customHeight="1">
      <c r="D829" s="105"/>
    </row>
    <row r="830" ht="15.75" customHeight="1">
      <c r="D830" s="105"/>
    </row>
    <row r="831" ht="15.75" customHeight="1">
      <c r="D831" s="105"/>
    </row>
    <row r="832" ht="15.75" customHeight="1">
      <c r="D832" s="105"/>
    </row>
    <row r="833" ht="15.75" customHeight="1">
      <c r="D833" s="105"/>
    </row>
    <row r="834" ht="15.75" customHeight="1">
      <c r="D834" s="105"/>
    </row>
    <row r="835" ht="15.75" customHeight="1">
      <c r="D835" s="105"/>
    </row>
    <row r="836" ht="15.75" customHeight="1">
      <c r="D836" s="105"/>
    </row>
    <row r="837" ht="15.75" customHeight="1">
      <c r="D837" s="105"/>
    </row>
    <row r="838" ht="15.75" customHeight="1">
      <c r="D838" s="105"/>
    </row>
    <row r="839" ht="15.75" customHeight="1">
      <c r="D839" s="105"/>
    </row>
    <row r="840" ht="15.75" customHeight="1">
      <c r="D840" s="105"/>
    </row>
    <row r="841" ht="15.75" customHeight="1">
      <c r="D841" s="105"/>
    </row>
    <row r="842" ht="15.75" customHeight="1">
      <c r="D842" s="105"/>
    </row>
    <row r="843" ht="15.75" customHeight="1">
      <c r="D843" s="105"/>
    </row>
    <row r="844" ht="15.75" customHeight="1">
      <c r="D844" s="105"/>
    </row>
    <row r="845" ht="15.75" customHeight="1">
      <c r="D845" s="105"/>
    </row>
    <row r="846" ht="15.75" customHeight="1">
      <c r="D846" s="105"/>
    </row>
    <row r="847" ht="15.75" customHeight="1">
      <c r="D847" s="105"/>
    </row>
    <row r="848" ht="15.75" customHeight="1">
      <c r="D848" s="105"/>
    </row>
    <row r="849" ht="15.75" customHeight="1">
      <c r="D849" s="105"/>
    </row>
    <row r="850" ht="15.75" customHeight="1">
      <c r="D850" s="105"/>
    </row>
    <row r="851" ht="15.75" customHeight="1">
      <c r="D851" s="105"/>
    </row>
    <row r="852" ht="15.75" customHeight="1">
      <c r="D852" s="105"/>
    </row>
    <row r="853" ht="15.75" customHeight="1">
      <c r="D853" s="105"/>
    </row>
    <row r="854" ht="15.75" customHeight="1">
      <c r="D854" s="105"/>
    </row>
    <row r="855" ht="15.75" customHeight="1">
      <c r="D855" s="105"/>
    </row>
    <row r="856" ht="15.75" customHeight="1">
      <c r="D856" s="105"/>
    </row>
    <row r="857" ht="15.75" customHeight="1">
      <c r="D857" s="105"/>
    </row>
    <row r="858" ht="15.75" customHeight="1">
      <c r="D858" s="105"/>
    </row>
    <row r="859" ht="15.75" customHeight="1">
      <c r="D859" s="105"/>
    </row>
    <row r="860" ht="15.75" customHeight="1">
      <c r="D860" s="105"/>
    </row>
    <row r="861" ht="15.75" customHeight="1">
      <c r="D861" s="105"/>
    </row>
    <row r="862" ht="15.75" customHeight="1">
      <c r="D862" s="105"/>
    </row>
    <row r="863" ht="15.75" customHeight="1">
      <c r="D863" s="105"/>
    </row>
    <row r="864" ht="15.75" customHeight="1">
      <c r="D864" s="105"/>
    </row>
    <row r="865" ht="15.75" customHeight="1">
      <c r="D865" s="105"/>
    </row>
    <row r="866" ht="15.75" customHeight="1">
      <c r="D866" s="105"/>
    </row>
    <row r="867" ht="15.75" customHeight="1">
      <c r="D867" s="105"/>
    </row>
    <row r="868" ht="15.75" customHeight="1">
      <c r="D868" s="105"/>
    </row>
    <row r="869" ht="15.75" customHeight="1">
      <c r="D869" s="105"/>
    </row>
    <row r="870" ht="15.75" customHeight="1">
      <c r="D870" s="105"/>
    </row>
    <row r="871" ht="15.75" customHeight="1">
      <c r="D871" s="105"/>
    </row>
    <row r="872" ht="15.75" customHeight="1">
      <c r="D872" s="105"/>
    </row>
    <row r="873" ht="15.75" customHeight="1">
      <c r="D873" s="105"/>
    </row>
    <row r="874" ht="15.75" customHeight="1">
      <c r="D874" s="105"/>
    </row>
    <row r="875" ht="15.75" customHeight="1">
      <c r="D875" s="105"/>
    </row>
    <row r="876" ht="15.75" customHeight="1">
      <c r="D876" s="105"/>
    </row>
    <row r="877" ht="15.75" customHeight="1">
      <c r="D877" s="105"/>
    </row>
    <row r="878" ht="15.75" customHeight="1">
      <c r="D878" s="105"/>
    </row>
    <row r="879" ht="15.75" customHeight="1">
      <c r="D879" s="105"/>
    </row>
    <row r="880" ht="15.75" customHeight="1">
      <c r="D880" s="105"/>
    </row>
    <row r="881" ht="15.75" customHeight="1">
      <c r="D881" s="105"/>
    </row>
    <row r="882" ht="15.75" customHeight="1">
      <c r="D882" s="105"/>
    </row>
    <row r="883" ht="15.75" customHeight="1">
      <c r="D883" s="105"/>
    </row>
    <row r="884" ht="15.75" customHeight="1">
      <c r="D884" s="105"/>
    </row>
    <row r="885" ht="15.75" customHeight="1">
      <c r="D885" s="105"/>
    </row>
    <row r="886" ht="15.75" customHeight="1">
      <c r="D886" s="105"/>
    </row>
    <row r="887" ht="15.75" customHeight="1">
      <c r="D887" s="105"/>
    </row>
    <row r="888" ht="15.75" customHeight="1">
      <c r="D888" s="105"/>
    </row>
    <row r="889" ht="15.75" customHeight="1">
      <c r="D889" s="105"/>
    </row>
    <row r="890" ht="15.75" customHeight="1">
      <c r="D890" s="105"/>
    </row>
    <row r="891" ht="15.75" customHeight="1">
      <c r="D891" s="105"/>
    </row>
    <row r="892" ht="15.75" customHeight="1">
      <c r="D892" s="105"/>
    </row>
    <row r="893" ht="15.75" customHeight="1">
      <c r="D893" s="105"/>
    </row>
    <row r="894" ht="15.75" customHeight="1">
      <c r="D894" s="105"/>
    </row>
    <row r="895" ht="15.75" customHeight="1">
      <c r="D895" s="105"/>
    </row>
    <row r="896" ht="15.75" customHeight="1">
      <c r="D896" s="105"/>
    </row>
    <row r="897" ht="15.75" customHeight="1">
      <c r="D897" s="105"/>
    </row>
    <row r="898" ht="15.75" customHeight="1">
      <c r="D898" s="105"/>
    </row>
    <row r="899" ht="15.75" customHeight="1">
      <c r="D899" s="105"/>
    </row>
    <row r="900" ht="15.75" customHeight="1">
      <c r="D900" s="105"/>
    </row>
    <row r="901" ht="15.75" customHeight="1">
      <c r="D901" s="105"/>
    </row>
    <row r="902" ht="15.75" customHeight="1">
      <c r="D902" s="105"/>
    </row>
    <row r="903" ht="15.75" customHeight="1">
      <c r="D903" s="105"/>
    </row>
    <row r="904" ht="15.75" customHeight="1">
      <c r="D904" s="105"/>
    </row>
    <row r="905" ht="15.75" customHeight="1">
      <c r="D905" s="105"/>
    </row>
    <row r="906" ht="15.75" customHeight="1">
      <c r="D906" s="105"/>
    </row>
    <row r="907" ht="15.75" customHeight="1">
      <c r="D907" s="105"/>
    </row>
    <row r="908" ht="15.75" customHeight="1">
      <c r="D908" s="105"/>
    </row>
    <row r="909" ht="15.75" customHeight="1">
      <c r="D909" s="105"/>
    </row>
    <row r="910" ht="15.75" customHeight="1">
      <c r="D910" s="105"/>
    </row>
    <row r="911" ht="15.75" customHeight="1">
      <c r="D911" s="105"/>
    </row>
    <row r="912" ht="15.75" customHeight="1">
      <c r="D912" s="105"/>
    </row>
    <row r="913" ht="15.75" customHeight="1">
      <c r="D913" s="105"/>
    </row>
    <row r="914" ht="15.75" customHeight="1">
      <c r="D914" s="105"/>
    </row>
    <row r="915" ht="15.75" customHeight="1">
      <c r="D915" s="105"/>
    </row>
    <row r="916" ht="15.75" customHeight="1">
      <c r="D916" s="105"/>
    </row>
    <row r="917" ht="15.75" customHeight="1">
      <c r="D917" s="105"/>
    </row>
    <row r="918" ht="15.75" customHeight="1">
      <c r="D918" s="105"/>
    </row>
    <row r="919" ht="15.75" customHeight="1">
      <c r="D919" s="105"/>
    </row>
    <row r="920" ht="15.75" customHeight="1">
      <c r="D920" s="105"/>
    </row>
    <row r="921" ht="15.75" customHeight="1">
      <c r="D921" s="105"/>
    </row>
    <row r="922" ht="15.75" customHeight="1">
      <c r="D922" s="105"/>
    </row>
    <row r="923" ht="15.75" customHeight="1">
      <c r="D923" s="105"/>
    </row>
    <row r="924" ht="15.75" customHeight="1">
      <c r="D924" s="105"/>
    </row>
    <row r="925" ht="15.75" customHeight="1">
      <c r="D925" s="105"/>
    </row>
    <row r="926" ht="15.75" customHeight="1">
      <c r="D926" s="105"/>
    </row>
    <row r="927" ht="15.75" customHeight="1">
      <c r="D927" s="105"/>
    </row>
    <row r="928" ht="15.75" customHeight="1">
      <c r="D928" s="105"/>
    </row>
    <row r="929" ht="15.75" customHeight="1">
      <c r="D929" s="105"/>
    </row>
    <row r="930" ht="15.75" customHeight="1">
      <c r="D930" s="105"/>
    </row>
    <row r="931" ht="15.75" customHeight="1">
      <c r="D931" s="105"/>
    </row>
    <row r="932" ht="15.75" customHeight="1">
      <c r="D932" s="105"/>
    </row>
    <row r="933" ht="15.75" customHeight="1">
      <c r="D933" s="105"/>
    </row>
    <row r="934" ht="15.75" customHeight="1">
      <c r="D934" s="105"/>
    </row>
    <row r="935" ht="15.75" customHeight="1">
      <c r="D935" s="105"/>
    </row>
    <row r="936" ht="15.75" customHeight="1">
      <c r="D936" s="105"/>
    </row>
    <row r="937" ht="15.75" customHeight="1">
      <c r="D937" s="105"/>
    </row>
    <row r="938" ht="15.75" customHeight="1">
      <c r="D938" s="105"/>
    </row>
    <row r="939" ht="15.75" customHeight="1">
      <c r="D939" s="105"/>
    </row>
    <row r="940" ht="15.75" customHeight="1">
      <c r="D940" s="105"/>
    </row>
    <row r="941" ht="15.75" customHeight="1">
      <c r="D941" s="105"/>
    </row>
    <row r="942" ht="15.75" customHeight="1">
      <c r="D942" s="105"/>
    </row>
    <row r="943" ht="15.75" customHeight="1">
      <c r="D943" s="105"/>
    </row>
    <row r="944" ht="15.75" customHeight="1">
      <c r="D944" s="105"/>
    </row>
    <row r="945" ht="15.75" customHeight="1">
      <c r="D945" s="105"/>
    </row>
    <row r="946" ht="15.75" customHeight="1">
      <c r="D946" s="105"/>
    </row>
    <row r="947" ht="15.75" customHeight="1">
      <c r="D947" s="105"/>
    </row>
    <row r="948" ht="15.75" customHeight="1">
      <c r="D948" s="105"/>
    </row>
    <row r="949" ht="15.75" customHeight="1">
      <c r="D949" s="105"/>
    </row>
    <row r="950" ht="15.75" customHeight="1">
      <c r="D950" s="105"/>
    </row>
    <row r="951" ht="15.75" customHeight="1">
      <c r="D951" s="105"/>
    </row>
    <row r="952" ht="15.75" customHeight="1">
      <c r="D952" s="105"/>
    </row>
    <row r="953" ht="15.75" customHeight="1">
      <c r="D953" s="105"/>
    </row>
    <row r="954" ht="15.75" customHeight="1">
      <c r="D954" s="105"/>
    </row>
    <row r="955" ht="15.75" customHeight="1">
      <c r="D955" s="105"/>
    </row>
    <row r="956" ht="15.75" customHeight="1">
      <c r="D956" s="105"/>
    </row>
    <row r="957" ht="15.75" customHeight="1">
      <c r="D957" s="105"/>
    </row>
    <row r="958" ht="15.75" customHeight="1">
      <c r="D958" s="105"/>
    </row>
    <row r="959" ht="15.75" customHeight="1">
      <c r="D959" s="105"/>
    </row>
    <row r="960" ht="15.75" customHeight="1">
      <c r="D960" s="105"/>
    </row>
    <row r="961" ht="15.75" customHeight="1">
      <c r="D961" s="105"/>
    </row>
    <row r="962" ht="15.75" customHeight="1">
      <c r="D962" s="105"/>
    </row>
    <row r="963" ht="15.75" customHeight="1">
      <c r="D963" s="105"/>
    </row>
    <row r="964" ht="15.75" customHeight="1">
      <c r="D964" s="105"/>
    </row>
    <row r="965" ht="15.75" customHeight="1">
      <c r="D965" s="105"/>
    </row>
    <row r="966" ht="15.75" customHeight="1">
      <c r="D966" s="105"/>
    </row>
    <row r="967" ht="15.75" customHeight="1">
      <c r="D967" s="105"/>
    </row>
    <row r="968" ht="15.75" customHeight="1">
      <c r="D968" s="105"/>
    </row>
    <row r="969" ht="15.75" customHeight="1">
      <c r="D969" s="105"/>
    </row>
    <row r="970" ht="15.75" customHeight="1">
      <c r="D970" s="105"/>
    </row>
    <row r="971" ht="15.75" customHeight="1">
      <c r="D971" s="105"/>
    </row>
    <row r="972" ht="15.75" customHeight="1">
      <c r="D972" s="105"/>
    </row>
    <row r="973" ht="15.75" customHeight="1">
      <c r="D973" s="105"/>
    </row>
    <row r="974" ht="15.75" customHeight="1">
      <c r="D974" s="105"/>
    </row>
    <row r="975" ht="15.75" customHeight="1">
      <c r="D975" s="105"/>
    </row>
    <row r="976" ht="15.75" customHeight="1">
      <c r="D976" s="105"/>
    </row>
    <row r="977" ht="15.75" customHeight="1">
      <c r="D977" s="105"/>
    </row>
    <row r="978" ht="15.75" customHeight="1">
      <c r="D978" s="105"/>
    </row>
    <row r="979" ht="15.75" customHeight="1">
      <c r="D979" s="105"/>
    </row>
    <row r="980" ht="15.75" customHeight="1">
      <c r="D980" s="105"/>
    </row>
    <row r="981" ht="15.75" customHeight="1">
      <c r="D981" s="105"/>
    </row>
    <row r="982" ht="15.75" customHeight="1">
      <c r="D982" s="105"/>
    </row>
    <row r="983" ht="15.75" customHeight="1">
      <c r="D983" s="105"/>
    </row>
    <row r="984" ht="15.75" customHeight="1">
      <c r="D984" s="105"/>
    </row>
    <row r="985" ht="15.75" customHeight="1">
      <c r="D985" s="105"/>
    </row>
    <row r="986" ht="15.75" customHeight="1">
      <c r="D986" s="105"/>
    </row>
    <row r="987" ht="15.75" customHeight="1">
      <c r="D987" s="105"/>
    </row>
    <row r="988" ht="15.75" customHeight="1">
      <c r="D988" s="105"/>
    </row>
    <row r="989" ht="15.75" customHeight="1">
      <c r="D989" s="105"/>
    </row>
    <row r="990" ht="15.75" customHeight="1">
      <c r="D990" s="105"/>
    </row>
    <row r="991" ht="15.75" customHeight="1">
      <c r="D991" s="105"/>
    </row>
    <row r="992" ht="15.75" customHeight="1">
      <c r="D992" s="105"/>
    </row>
    <row r="993" ht="15.75" customHeight="1">
      <c r="D993" s="105"/>
    </row>
    <row r="994" ht="15.75" customHeight="1">
      <c r="D994" s="105"/>
    </row>
    <row r="995" ht="15.75" customHeight="1">
      <c r="D995" s="105"/>
    </row>
    <row r="996" ht="15.75" customHeight="1">
      <c r="D996" s="105"/>
    </row>
    <row r="997" ht="15.75" customHeight="1">
      <c r="D997" s="105"/>
    </row>
    <row r="998" ht="15.75" customHeight="1">
      <c r="D998" s="105"/>
    </row>
    <row r="999" ht="15.75" customHeight="1">
      <c r="D999" s="105"/>
    </row>
    <row r="1000" ht="15.75" customHeight="1">
      <c r="D1000" s="105"/>
    </row>
  </sheetData>
  <mergeCells count="1">
    <mergeCell ref="E2:E12"/>
  </mergeCells>
  <hyperlinks>
    <hyperlink display=" COCO PAA PRINCESS CRÈME 460G" location="'COCO PAA PRINCESS CRÈME 460G'!A1" ref="B2"/>
    <hyperlink display="COCO PAA PRINCESS CRÈME 260G  " location="'COCO PAA PRINCESS CRÈME 260G'!A1" ref="B3"/>
    <hyperlink display="COCO PAA PRINCESS CRÈME 150G " location="'COCO PAA PRINCESS CRÈME 150G'!A1" ref="B4"/>
    <hyperlink display=" BO-16 HAIR FOOD BLEU 225ML  " location="'BO-16 HAIR FOOD BLEU 225ML'!A1" ref="B5"/>
    <hyperlink display="   BO-16 HAIR FOOD JAUNE 225ML " location="'BO-16 HAIR FOOD JAUNE 225ML'!A1" ref="B6"/>
    <hyperlink display="PARFUME INTENSE 100ML  " location="'PARFUME INTENSE 100ML'!A1" ref="B7"/>
    <hyperlink display="PARFUME LEGEND 100ML " location="'PARFUME LEGEND 100ML'!A1" ref="B8"/>
    <hyperlink display="'PARFUME BLOSSOM 100ML '!A1" location="'PARFUME BLOSSOM 100ML'!A1" ref="B9"/>
    <hyperlink display="PARFUME OUD 100ML " location="'PARFUME OUD 100ML'!A1" ref="B10"/>
    <hyperlink display="PRINCESS CREAM C.B M/S 260ML " location="'PRINCESS CREAM C.B M S 260ML '!A1" ref="B11"/>
    <hyperlink display="PRINCESS CREAM C.B S/S 150ML " location="'PRINCESS CREAM C.B S S 150ML '!A1" ref="B12"/>
    <hyperlink display=" CARRO PAA PRINCESS B/S 460ML " location="' CARRO PAA PRINCESS B S 460ML '!A1" ref="B13"/>
    <hyperlink display=" CARRO PAA PRINCESS M/S 260ML " location="' CARRO PAA PRINCESS M S 260ML '!A1" ref="B14"/>
    <hyperlink display="CARRO PAA PRINCESS S/S 150ML " location="'CARRO PAA PRINCESS S S 150ML '!A1" ref="B15"/>
    <hyperlink display="'CARRO PAA LOTION B S 400ML '!A1" location="'CARRO PAA LOTION B S 400ML '!A1" ref="B16"/>
    <hyperlink display="CARRO PAA LOTION S/S 260ML " location="'CARRO PAA LOTION S S 260ML '!A1" ref="B17"/>
    <hyperlink display="KLEANZ HAND SANITIZER 100 ML " location="'KLEANZ HAND SANITIZER 100 ML '!A1" ref="B18"/>
    <hyperlink display="KLEANZ HAND SANITIZER 50 ML" location="'KLEANZ HAND SANITIZER 50 ML'!A1" ref="B19"/>
    <hyperlink display="'HABIBA PDE B S 250 ML'!A1" location="'HABIBA PDE B S 250 ML'!A1" ref="B20"/>
    <hyperlink display="'HABIBA PDE S S 150 ML'!A1" location="'HABIBA PDE S S 150 ML'!A1" ref="B21"/>
    <hyperlink display="'HABIBA SHEA BUTTER PDE B S 250'!A1" location="'HABIBA SHEA BUTTER PDE B S 250'!A1" ref="B22"/>
    <hyperlink display="'STYLE UP 3 IN 1 SHOWER GEL ICE '!A1" location="'STYLE UP 3 IN 1 SHOWER GEL ICE '!A1" ref="B23"/>
    <hyperlink display="'STYLE UP 3 IN1 SHOWER GEL FRESH'!A1" location="'STYLE UP 3 IN1 SHOWER GEL FRESH'!A1" ref="B24"/>
    <hyperlink display="'STYLE UP 3 IN1 SHOWER GEL SPORT'!A1" location="'STYLE UP 3 IN1 SHOWER GEL SPORT'!A1" ref="B25"/>
    <hyperlink display="'STYLE UP SHOWER GEL FOCUS 1050'!A1" location="'STYLE UP SHOWER GEL FOCUS 1050'!A1" ref="B26"/>
    <hyperlink display="'STYLE UP SHOWER GEL SPORT 1050'!A1" location="'STYLE UP SHOWER GEL SPORT 1050'!A1" ref="B27"/>
    <hyperlink display="'STYLEUP SHOWER GEL STAMINA 1050'!A1" location="'STYLEUP SHOWER GEL STAMINA 1050'!A1" ref="B28"/>
    <hyperlink display="'STYLE UP SHOWER GEL POWER 1050'!A1" location="'STYLE UP SHOWER GEL POWER 1050'!A1" ref="B29"/>
    <hyperlink display="'STYLE UP SHOWER GEL RELAX 1050" location="'STYLE UP SHOWER GEL RELAX 1050'!A1" ref="B30"/>
    <hyperlink display="'BO-16 HERBAL CARE 280GR '!A1" location="'BO-16 HERBAL CARE 280GR '!A1" ref="B31"/>
    <hyperlink display="'BO-16 HAIR FOOD VITAMINS 225ML'!A1" location="'BO-16 HAIR FOOD VITAMINS 225ML'!A1" ref="B32"/>
    <hyperlink display="'BO-16 HAIR FOOD 225ML '!A1" location="'BO-16 HAIR FOOD 225ML '!A1" ref="B33"/>
    <hyperlink display="'KLEANZ BODY WASH ALOE VERA 750'!A1" location="'KLEANZ BODY WASH ALOE VERA 750'!A1" ref="B34"/>
    <hyperlink display="'KLEANZ BODY WASH STRAWBER 750ML'!A1" location="'KLEANZ BODY WASH STRAWBER 750ML'!A1" ref="B35"/>
    <hyperlink display="'KLEANZ BODYWASH ANTIBACTIRAL750'!A1" location="'KLEANZ BODYWASH ANTIBACTIRAL750'!A1" ref="B36"/>
    <hyperlink display="'KLEANZ BODY WASH VANILLA 750'!A1" location="'KLEANZ BODY WASH VANILLA 750'!A1" ref="B37"/>
    <hyperlink display="'KLEANZ BODY COCONUT OIL 750ML'!A1" location="'KLEANZ BODY COCONUT OIL 750ML'!A1" ref="B38"/>
    <hyperlink display="'CLASSIC HAIR PDE S-S 125 ML '!A1" location="'CLASSIC HAIR PDE S-S 125 ML '!A1" ref="B39"/>
    <hyperlink display="'CLASSIC HAIR PDE B-S 300 ML '!A1" location="'CLASSIC HAIR PDE B-S 300 ML '!A1" ref="B40"/>
    <hyperlink display="'LAIT NATURE CLAIRE 250ML'!A1" location="'LAIT NATURE CLAIRE 250ML'!A1" ref="B41"/>
    <hyperlink display="'LAIT NATURE CLAIRE 500ML'!A1" location="'LAIT NATURE CLAIRE 500ML'!A1" ref="B42"/>
    <hyperlink display="'GEL D.SKINS BABY CARE'!A1" location="'GEL D.SKINS BABY CARE'!A1" ref="B43"/>
    <hyperlink display="'LAIT SKIN BABYCARE 750 ML '!A1" location="'LAIT SKIN BABYCARE 750 ML '!A1" ref="B44"/>
    <hyperlink display="'LAIT SKINS GOLD 210 ML'!A1" location="'LAIT SKINS GOLD 210 ML'!A1" ref="B45"/>
    <hyperlink display="'EAU DE BEBE SKINS 535 ML'!A1" location="'EAU DE BEBE SKINS 535 ML'!A1" ref="B46"/>
    <hyperlink display="'CREME CH. SKINS BABY 150GRS'!A1" location="'CREME CH. SKINS BABY 150GRS'!A1" ref="B47"/>
    <hyperlink display="'CREME NAT.CLAIRE 150 GRS'!A1" location="'CREME NAT.CLAIRE 150 GRS'!A1" ref="B48"/>
    <hyperlink display="'CREME NAT.CLAIRE 300ML'!A1" location="'CREME NAT.CLAIRE 300ML'!A1" ref="B49"/>
    <hyperlink display="'LIQ.VAISS.CLEANOL 750ML MIX'!A1" location="'LIQ.VAISS.CLEANOL 750ML MIX'!A1" ref="B50"/>
    <hyperlink display="'LOT SKINS BABY CARE'!A1" location="'LOT SKINS BABY CARE'!A1" ref="B51"/>
    <hyperlink display="'LAIT SKINS 225ML'!A1" location="'LAIT SKINS 225ML'!A1" ref="B52"/>
    <hyperlink display="'LAIT SKINS 400ML'!A1" location="'LAIT SKINS 400ML'!A1" ref="B53"/>
    <hyperlink display="'SAV.NAT.CLAIRE 400GRS CARROT'!A1" location="'SAV.NAT.CLAIRE 400GRS CARROT'!A1" ref="B54"/>
    <hyperlink display="'SAV.NAT.CLAIRE 400GRS '!A1" location="'SAV.NAT.CLAIRE 400GRS '!A1" ref="B56"/>
    <hyperlink display="'SAV.NAT.CLAIRE 400GR COCOA'!A1" location="'SAV.NAT.CLAIRE 400GR COCOA'!A1" ref="B57"/>
    <hyperlink display="'SAV.NAT.CLAIRE 400GRS ARGAN'!A1" location="'SAV.NAT.CLAIRE 400GRS ARGAN'!A1" ref="B58"/>
    <hyperlink display="'SAV.NAT.CLAIRE 400GRS MIEL'!A1" location="'SAV.NAT.CLAIRE 400GRS MIEL'!A1" ref="B59"/>
    <hyperlink display="'SAV.NAT.CLAIRE 400GRS PAPAYE'!A1" location="'SAV.NAT.CLAIRE 400GRS PAPAYE'!A1" ref="B60"/>
    <hyperlink display="'SAV.NAT.CLAIRE 400GRS AVOCAT '!A1" location="'SAV.NAT.CLAIRE 400GRS AVOCAT '!A1" ref="B61"/>
    <hyperlink display="'SAV.NAT.CLAIRE 400GRS LAIT '!A1" location="'SAV.NAT.CLAIRE 400GRS LAIT '!A1" ref="B62"/>
    <hyperlink display="'SAV.NAT.CLAIRE 400GRS OLIVE'!A1" location="'SAV.NAT.CLAIRE 400GRS OLIVE'!A1" ref="B63"/>
    <hyperlink display="'NATURAL PAPAYA &amp; CARROT SOAP '!A1" location="'NATURAL PAPAYA &amp; CARROT SOAP '!A1" ref="B65"/>
    <hyperlink display="'KOJIC WHITE 4 IN 1 SOAP 160GM'!A1" location="'KOJIC WHITE 4 IN 1 SOAP 160GM'!A1" ref="B66"/>
    <hyperlink display="'PAPAYA HONEY LEMON SOAP 160GM'!A1" location="'PAPAYA HONEY LEMON SOAP 160GM'!A1" ref="B67"/>
    <hyperlink display="'GLUTA CLEAR &amp; GLUTA SOAP 160GM'!A1" location="'GLUTA CLEAR &amp; GLUTA SOAP 160GM'!A1" ref="B68"/>
    <hyperlink display="'CALLAGEN &amp; GLUTA SOAP 160GM'!A1" location="'CALLAGEN &amp; GLUTA SOAP 160GM'!A1" ref="B69"/>
    <hyperlink display="'Gluta Tomato Carrot Soap 135gm'!A1" location="'Gluta Tomato Carrot Soap 135gm'!A1" ref="B70"/>
    <hyperlink display="'KOJIC C EXTRACT GLUTA SOAP135GM'!A1" location="'KOJIC C EXTRACT GLUTA SOAP135GM'!A1" ref="B71"/>
    <hyperlink display="'AX1 Kojic Papaya  Soap 135gm '!A1" location="'AX1 Kojic Papaya  Soap 135gm '!A1" ref="B72"/>
    <hyperlink display="'KOJIC GALLAGEN GLUTA SOAP 135GM'!A1" location="'KOJIC GALLAGEN GLUTA SOAP 135GM'!A1" ref="B73"/>
    <hyperlink display="'KOJIC GLUTA PLUS SOAP 135GM'!A1" location="'KOJIC GLUTA PLUS SOAP 135GM'!A1" ref="B74"/>
    <hyperlink display="'4 IN 1 GLUA COLLAGEN SOAP 160GM'!A1" location="'4 IN 1 GLUA COLLAGEN SOAP 160GM'!A1" ref="B75"/>
    <hyperlink display="'NANO KOJIC WHITE X2 SOAP 160GM'!A1" location="'NANO KOJIC WHITE X2 SOAP 160GM'!A1" ref="B76"/>
    <hyperlink display="' Aloevera Collagen Soap 160gm'!A1" location="' Aloevera Collagen Soap 160gm'!A1" ref="B77"/>
    <hyperlink display="'Kojic Rice Milk Soap 160gm'!A1" location="'Kojic Rice Milk Soap 160gm'!A1" ref="B78"/>
    <hyperlink display="'Kojic Gluta C&amp;E Soap 160gm'!A1" location="'Kojic Gluta C&amp;E Soap 160gm'!A1" ref="B79"/>
    <hyperlink display="'Kojic Tomato Gluta Soap 160gm'!A1" location="'Kojic Tomato Gluta Soap 160gm'!A1" ref="B80"/>
    <hyperlink display="'Kojic Super White Soap 160gm'!A1" location="'Kojic Super White Soap 160gm'!A1" ref="B81"/>
    <hyperlink display="'WHITE X2 PAPAYA &amp; CARROT SOAP " location="'WHITE X2 PAPAYA &amp; CARROT SOAP '!A1" ref="B82"/>
    <hyperlink display="'MISS U CARROT TOMATO 5 IN 1 " location="'MISS U CARROT TOMATO 5 IN 1 '!A1" ref="B83"/>
    <hyperlink display="'ALOE PAA LOTION B S 400ML'!A1" location="'ALOE PAA LOTION B S 400ML'!A1" ref="B84"/>
    <hyperlink display="'ALOE PAA PRINCESS B S 460ML'!A1" location="'ALOE PAA PRINCESS B S 460ML'!A1" ref="B85"/>
    <hyperlink display="'ALOE PAA PRINCESS M S 260ML'!A1" location="'ALOE PAA PRINCESS M S 260ML'!A1" ref="B86"/>
    <hyperlink display="'ALOE PAA PRINCESS S S 150ML'!A1" location="'ALOE PAA PRINCESS S S 150ML'!A1" ref="B87"/>
    <hyperlink display="'BABY GIRL LOTION 270ML'!A1" location="'BABY GIRL LOTION 270ML'!A1" ref="B88"/>
    <hyperlink display="'BABY BOY LOTION 270ML'!A1" location="'BABY BOY LOTION 270ML'!A1" ref="B89"/>
    <hyperlink display="'BABY BOY OIL M S 100ML'!A1" location="'BABY BOY OIL M S 100ML'!A1" ref="B90"/>
    <hyperlink display="'BABY GIRL OIL M S 100ML'!A1" location="'BABY GIRL OIL M S 100ML'!A1" ref="B91"/>
    <hyperlink display="'BABY GIRL CREAM S S 165ML'!A1" location="'BABY GIRL CREAM S S 165ML'!A1" ref="B92"/>
    <hyperlink display="'BABY BOY CREAM S S 165ML'!A1" location="'BABY BOY CREAM S S 165ML'!A1" ref="B93"/>
    <hyperlink display="'BABY GIRL POMADE S S 165ML'!A1" location="'BABY GIRL POMADE S S 165ML'!A1" ref="B94"/>
    <hyperlink display="'BABY BOY POMADE S S 165ML'!A1" location="'BABY BOY POMADE S S 165ML'!A1" ref="B95"/>
    <hyperlink display="'BABY GIRL PWD S S 50GM'!A1" location="'BABY GIRL PWD S S 50GM'!A1" ref="B96"/>
    <hyperlink display="'BABY GIRL PWD M S 180GM'!A1" location="'BABY GIRL PWD M S 180GM'!A1" ref="B97"/>
    <hyperlink display="'BABY BOY PWD S S 50GM'!A1" location="'BABY BOY PWD S S 50GM'!A1" ref="B98"/>
    <hyperlink display="'BABY BOY PWD M S 180GM'!A1" location="'BABY BOY PWD M S 180GM'!A1" ref="B99"/>
    <hyperlink display="'SISTER PDE S S 100ML'!A1" location="'SISTER PDE S S 100ML'!A1" ref="B100"/>
    <hyperlink display="'SISTER PDE M S 175ML'!A1" location="'SISTER PDE M S 175ML'!A1" ref="B101"/>
    <hyperlink display="'SISTER COCOA-BUTTER POMADE 100'!A1" location="'SISTER COCOA-BUTTER POMADE 100'!A1" ref="B102"/>
    <hyperlink display="'SISTER COCOA-BUTTER POMADE 175'!A1" location="'SISTER COCOA-BUTTER POMADE 175'!A1" ref="B103"/>
    <hyperlink display="'AVOCADO PDE B S 280ML'!A1" location="'AVOCADO PDE B S 280ML'!A1" ref="B104"/>
    <hyperlink display="'CARROBEL CREAM 150ML'!A1" location="'CARROBEL CREAM 150ML'!A1" ref="B105"/>
    <hyperlink display="'CARROBEL CREAM 280 ML'!A1" location="'CARROBEL CREAM 280 ML'!A1" ref="B106"/>
    <hyperlink display="'CARROBEL POMADE 150ML'!A1" location="'CARROBEL POMADE 150ML'!A1" ref="B107"/>
    <hyperlink display="'CARROBEL POMADE B S 280ML'!A1" location="'CARROBEL POMADE B S 280ML'!A1" ref="B108"/>
    <hyperlink display="'JAM RICE MILK SOAP '!A1" location="'JAM RICE MILK SOAP '!A1" ref="B109"/>
    <hyperlink display="'JAM PAPAYA SOAP " location="'JAM PAPAYA SOAP '!A1" ref="B110"/>
    <hyperlink display="'JAM CARROT SOAP " location="'JAM CARROT SOAP '!A1" ref="B111"/>
    <hyperlink display="'SOAP BAR WITH GLUTA'!A1" location="'SOAP BAR WITH GLUTA'!A1" ref="B112"/>
    <hyperlink display="'AHA SERUM 30 ML'!A1" location="'AHA SERUM 30 ML'!A1" ref="B113"/>
    <hyperlink display="'ASANTE PAPAYE AND HONEY MILK'!A1" location="'ASANTE PAPAYE AND HONEY MILK'!A1" ref="B114"/>
    <hyperlink display="'ASANTE PAPAYA RICE MILK HONEY'!A1" location="'ASANTE PAPAYA RICE MILK HONEY'!A1" ref="B115"/>
    <hyperlink display="'ASANTE CARROT WITH HONEY '!A1" location="'ASANTE CARROT WITH HONEY '!A1" ref="B116"/>
    <hyperlink display="'ASANTE TAMARIND GINGER HONEY'!A1" location="'ASANTE TAMARIND GINGER HONEY'!A1" ref="B117"/>
    <hyperlink display="'ASANTE TAMARIND TURMERIC HONEY'!A1" location="'ASANTE TAMARIND TURMERIC HONEY'!A1" ref="B118"/>
    <hyperlink display="'ASANTE RICE MILK WITH HONEY'!A1" location="'ASANTE RICE MILK WITH HONEY'!A1" ref="B119"/>
    <hyperlink display="'ASANTE TAMARIND AND HONEY '!A1" location="'ASANTE TAMARIND AND HONEY '!A1" ref="B120"/>
    <hyperlink display="'ASANTE RICE MILK AND COLLAGEN'!A1" location="'ASANTE RICE MILK AND COLLAGEN'!A1" ref="B121"/>
    <hyperlink display="'HEAD TO TOE WASH BLUE 500ML'!A1" location="'HEAD TO TOE WASH BLUE 500ML'!A1" ref="B122"/>
    <hyperlink display="'HEAD TO TOE WASH PINK 500ML'!A1" location="'HEAD TO TOE WASH PINK 500ML'!A1" ref="B123"/>
    <hyperlink display="'HEAD TO TOE WASH PURPLE 500ML'!A1" location="'HEAD TO TOE WASH PURPLE 500ML'!A1" ref="B124"/>
    <hyperlink display="'HEAD TO TOE WASH YELLOW 500ML'!A1" location="'HEAD TO TOE WASH YELLOW 500ML'!A1" ref="B125"/>
    <hyperlink display="'CARE BODY LOTION B S 420ML'!A1" location="'CARE BODY LOTION B S 420ML'!A1" ref="B126"/>
    <hyperlink display="'COLLAGEN ORANGE SOAP '!A1" location="'COLLAGEN ORANGE SOAP '!A1" ref="B127"/>
    <hyperlink display="' PAPAYA ARUBTIN SKIN SPA 700GM'!A1" location="' PAPAYA ARUBTIN SKIN SPA 700GM'!A1" ref="B128"/>
    <hyperlink display="'PAPAYA TOMATO SKIN SPA 700GM'!A1" location="'PAPAYA TOMATO SKIN SPA 700GM'!A1" ref="B129"/>
    <hyperlink display="'HONEY TURMERIC SKIN SPA 700GM'!A1" location="'HONEY TURMERIC SKIN SPA 700GM'!A1" ref="B130"/>
    <hyperlink display="'SUPEA AHA SKIN SPA 700GM'!A1" location="'SUPEA AHA SKIN SPA 700GM'!A1" ref="B131"/>
    <hyperlink display="'SMOOTH &amp; CLEAN 700GM'!A1" location="'SMOOTH &amp; CLEAN 700GM'!A1" ref="B132"/>
    <hyperlink display="'BODY SCRUB TOMATO GOAT MILK '!A1" location="'BODY SCRUB TOMATO GOAT MILK '!A1" ref="B133"/>
    <hyperlink display="'BODY SCRUB TURMERIC HONEY '!A1" location="'BODY SCRUB TURMERIC HONEY '!A1" ref="B134"/>
    <hyperlink display="'BODY SCRUB RICE MILK '!A1" location="'BODY SCRUB RICE MILK '!A1" ref="B135"/>
    <hyperlink display="'BODY SCRUB TAMARIND &amp; HONEY '!A1" location="'BODY SCRUB TAMARIND &amp; HONEY '!A1" ref="B136"/>
    <hyperlink display="'PAPAYA ARUBTIN LOTION 600ML'!A1" location="'PAPAYA ARUBTIN LOTION 600ML'!A1" ref="B137"/>
    <hyperlink display="'ARUBTIN VIT-C-LOTION 600ML'!A1" location="'ARUBTIN VIT-C-LOTION 600ML'!A1" ref="B138"/>
    <hyperlink display="'SUPER AHA LEMON LOTION 600ML'!A1" location="'SUPER AHA LEMON LOTION 600ML'!A1" ref="B139"/>
    <hyperlink display="'HONEY RICE MILK LOTION 600ML'!A1" location="'HONEY RICE MILK LOTION 600ML'!A1" ref="B140"/>
    <hyperlink display="'MIMI WHITE VIT C SERUM 30ML'!A1" location="'MIMI WHITE VIT C SERUM 30ML'!A1" ref="B141"/>
    <hyperlink display="'PAPAYA &amp; CARROT CREAM 15GM" location="'PAPAYA &amp; CARROT CREAM 15GM'!A1" ref="B142"/>
    <hyperlink display="'RED CREAM " location="'RED CREAM '!A1" ref="B143"/>
    <hyperlink display="'P - CARE CREAM " location="'P - CARE CREAM '!A1" ref="B144"/>
    <hyperlink display="'PAULA VIT - C SOAP " location="'PAULA VIT - C SOAP '!A1" ref="B145"/>
    <hyperlink display="'POP PEARL CREAM" location="'POP PEARL CREAM'!A1" ref="B146"/>
    <hyperlink display="'POP PAPAYA CREAM" location="'POP PAPAYA CREAM'!A1" ref="B147"/>
    <hyperlink display="'POP FACIAL CREAM WITH CURCUMA" location="'POP FACIAL CREAM WITH CURCUMA'!A1" ref="B148"/>
    <hyperlink display="'POP FACIAL CREAM " location="'POP FACIAL CREAM '!A1" ref="B149"/>
    <hyperlink display="'STYLE UP PARFUM SPORT 50ML" location="'STYLE UP PARFUM SPORT 50ML'!A1" ref="B150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9.0"/>
    <col customWidth="1" min="7" max="26" width="9.14"/>
  </cols>
  <sheetData>
    <row r="1">
      <c r="A1" s="2" t="s">
        <v>1</v>
      </c>
      <c r="B1" s="4"/>
      <c r="C1" s="4"/>
      <c r="D1" s="4"/>
      <c r="E1" s="4"/>
      <c r="F1" s="6"/>
    </row>
    <row r="2">
      <c r="A2" s="8"/>
      <c r="B2" s="9"/>
      <c r="C2" s="9"/>
      <c r="D2" s="9"/>
      <c r="E2" s="9"/>
      <c r="F2" s="11"/>
    </row>
    <row r="3">
      <c r="A3" s="13" t="s">
        <v>8</v>
      </c>
      <c r="B3" s="15" t="s">
        <v>9</v>
      </c>
      <c r="C3" s="15" t="s">
        <v>10</v>
      </c>
      <c r="D3" s="17" t="s">
        <v>11</v>
      </c>
      <c r="E3" s="19" t="s">
        <v>12</v>
      </c>
      <c r="F3" s="20" t="s">
        <v>7</v>
      </c>
    </row>
    <row r="4">
      <c r="A4" s="21">
        <v>46241.0</v>
      </c>
      <c r="B4" s="22"/>
      <c r="C4" s="26"/>
      <c r="D4" s="28"/>
      <c r="E4" s="34">
        <v>15792.0</v>
      </c>
      <c r="F4" s="43">
        <v>48.0</v>
      </c>
    </row>
    <row r="5">
      <c r="A5" s="51">
        <v>46610.0</v>
      </c>
      <c r="B5" s="53" t="s">
        <v>19</v>
      </c>
      <c r="C5" s="46"/>
      <c r="D5" s="56">
        <v>2400.0</v>
      </c>
      <c r="E5" s="64">
        <f t="shared" ref="E5:E50" si="1">E4-D5+C5</f>
        <v>13392</v>
      </c>
      <c r="F5" s="66">
        <f>E5/F4</f>
        <v>279</v>
      </c>
    </row>
    <row r="6">
      <c r="A6" s="65"/>
      <c r="B6" s="53" t="s">
        <v>22</v>
      </c>
      <c r="C6" s="63"/>
      <c r="D6" s="56">
        <v>48.0</v>
      </c>
      <c r="E6" s="64">
        <f t="shared" si="1"/>
        <v>13344</v>
      </c>
      <c r="F6" s="66">
        <f>E6/F4</f>
        <v>278</v>
      </c>
    </row>
    <row r="7">
      <c r="A7" s="65"/>
      <c r="B7" s="53" t="s">
        <v>24</v>
      </c>
      <c r="C7" s="63"/>
      <c r="D7" s="56">
        <v>240.0</v>
      </c>
      <c r="E7" s="64">
        <f t="shared" si="1"/>
        <v>13104</v>
      </c>
      <c r="F7" s="66">
        <f>E7/F4</f>
        <v>273</v>
      </c>
    </row>
    <row r="8">
      <c r="A8" s="65"/>
      <c r="B8" s="53" t="s">
        <v>26</v>
      </c>
      <c r="C8" s="63"/>
      <c r="D8" s="56">
        <v>192.0</v>
      </c>
      <c r="E8" s="64">
        <f t="shared" si="1"/>
        <v>12912</v>
      </c>
      <c r="F8" s="66">
        <f>E8/F4</f>
        <v>269</v>
      </c>
    </row>
    <row r="9">
      <c r="A9" s="65"/>
      <c r="B9" s="53" t="s">
        <v>27</v>
      </c>
      <c r="C9" s="63"/>
      <c r="D9" s="56">
        <v>48.0</v>
      </c>
      <c r="E9" s="64">
        <f t="shared" si="1"/>
        <v>12864</v>
      </c>
      <c r="F9" s="66">
        <f>E9/F4</f>
        <v>268</v>
      </c>
    </row>
    <row r="10">
      <c r="A10" s="65"/>
      <c r="B10" s="53" t="s">
        <v>28</v>
      </c>
      <c r="C10" s="63"/>
      <c r="D10" s="56">
        <v>96.0</v>
      </c>
      <c r="E10" s="64">
        <f t="shared" si="1"/>
        <v>12768</v>
      </c>
      <c r="F10" s="66">
        <f>E10/F4</f>
        <v>266</v>
      </c>
    </row>
    <row r="11">
      <c r="A11" s="67"/>
      <c r="B11" s="53" t="s">
        <v>32</v>
      </c>
      <c r="C11" s="63"/>
      <c r="D11" s="56">
        <v>240.0</v>
      </c>
      <c r="E11" s="64">
        <f t="shared" si="1"/>
        <v>12528</v>
      </c>
      <c r="F11" s="66">
        <f>E11/F4</f>
        <v>261</v>
      </c>
    </row>
    <row r="12">
      <c r="A12" s="51">
        <v>46246.0</v>
      </c>
      <c r="B12" s="53" t="s">
        <v>30</v>
      </c>
      <c r="C12" s="63"/>
      <c r="D12" s="56">
        <v>96.0</v>
      </c>
      <c r="E12" s="64">
        <f t="shared" si="1"/>
        <v>12432</v>
      </c>
      <c r="F12" s="66">
        <f>E12/F4</f>
        <v>259</v>
      </c>
    </row>
    <row r="13">
      <c r="A13" s="65"/>
      <c r="B13" s="53" t="s">
        <v>33</v>
      </c>
      <c r="C13" s="78"/>
      <c r="D13" s="56">
        <v>48.0</v>
      </c>
      <c r="E13" s="64">
        <f t="shared" si="1"/>
        <v>12384</v>
      </c>
      <c r="F13" s="66">
        <f>E13/F4</f>
        <v>258</v>
      </c>
    </row>
    <row r="14">
      <c r="A14" s="65"/>
      <c r="B14" s="53" t="s">
        <v>34</v>
      </c>
      <c r="C14" s="82"/>
      <c r="D14" s="56">
        <v>48.0</v>
      </c>
      <c r="E14" s="64">
        <f t="shared" si="1"/>
        <v>12336</v>
      </c>
      <c r="F14" s="66">
        <f>E14/F4</f>
        <v>257</v>
      </c>
    </row>
    <row r="15">
      <c r="A15" s="65"/>
      <c r="B15" s="62" t="s">
        <v>38</v>
      </c>
      <c r="C15" s="82"/>
      <c r="D15" s="56">
        <v>48.0</v>
      </c>
      <c r="E15" s="64">
        <f t="shared" si="1"/>
        <v>12288</v>
      </c>
      <c r="F15" s="66">
        <f>E15/F4</f>
        <v>256</v>
      </c>
    </row>
    <row r="16">
      <c r="A16" s="65"/>
      <c r="B16" s="62" t="s">
        <v>40</v>
      </c>
      <c r="C16" s="82"/>
      <c r="D16" s="56">
        <v>48.0</v>
      </c>
      <c r="E16" s="64">
        <f t="shared" si="1"/>
        <v>12240</v>
      </c>
      <c r="F16" s="66">
        <f>E16/F4</f>
        <v>255</v>
      </c>
    </row>
    <row r="17">
      <c r="A17" s="67"/>
      <c r="B17" s="62" t="s">
        <v>20</v>
      </c>
      <c r="C17" s="82"/>
      <c r="D17" s="56">
        <v>2880.0</v>
      </c>
      <c r="E17" s="64">
        <f t="shared" si="1"/>
        <v>9360</v>
      </c>
      <c r="F17" s="66">
        <f>E17/F4</f>
        <v>195</v>
      </c>
    </row>
    <row r="18">
      <c r="A18" s="86"/>
      <c r="B18" s="87"/>
      <c r="C18" s="82"/>
      <c r="D18" s="88"/>
      <c r="E18" s="64">
        <f t="shared" si="1"/>
        <v>9360</v>
      </c>
      <c r="F18" s="66">
        <f>E18/F4</f>
        <v>195</v>
      </c>
    </row>
    <row r="19">
      <c r="A19" s="86"/>
      <c r="B19" s="87"/>
      <c r="C19" s="82"/>
      <c r="D19" s="70"/>
      <c r="E19" s="64">
        <f t="shared" si="1"/>
        <v>9360</v>
      </c>
      <c r="F19" s="66">
        <f>E19/F4</f>
        <v>195</v>
      </c>
    </row>
    <row r="20">
      <c r="A20" s="86"/>
      <c r="B20" s="87"/>
      <c r="C20" s="82"/>
      <c r="D20" s="80"/>
      <c r="E20" s="64">
        <f t="shared" si="1"/>
        <v>9360</v>
      </c>
      <c r="F20" s="66">
        <f>E20/F4</f>
        <v>195</v>
      </c>
    </row>
    <row r="21" ht="15.75" customHeight="1">
      <c r="A21" s="86"/>
      <c r="B21" s="87"/>
      <c r="C21" s="82"/>
      <c r="D21" s="80"/>
      <c r="E21" s="64">
        <f t="shared" si="1"/>
        <v>9360</v>
      </c>
      <c r="F21" s="66">
        <f>E21/F4</f>
        <v>195</v>
      </c>
    </row>
    <row r="22" ht="15.75" customHeight="1">
      <c r="A22" s="86"/>
      <c r="B22" s="87"/>
      <c r="C22" s="82"/>
      <c r="D22" s="80"/>
      <c r="E22" s="64">
        <f t="shared" si="1"/>
        <v>9360</v>
      </c>
      <c r="F22" s="66">
        <f>E22/F4</f>
        <v>195</v>
      </c>
    </row>
    <row r="23" ht="15.75" customHeight="1">
      <c r="A23" s="86"/>
      <c r="B23" s="87"/>
      <c r="C23" s="82"/>
      <c r="D23" s="80"/>
      <c r="E23" s="64">
        <f t="shared" si="1"/>
        <v>9360</v>
      </c>
      <c r="F23" s="66">
        <f>E23/F4</f>
        <v>195</v>
      </c>
    </row>
    <row r="24" ht="15.75" customHeight="1">
      <c r="A24" s="86"/>
      <c r="B24" s="87"/>
      <c r="C24" s="82"/>
      <c r="D24" s="80"/>
      <c r="E24" s="64">
        <f t="shared" si="1"/>
        <v>9360</v>
      </c>
      <c r="F24" s="66">
        <f>E24/F4</f>
        <v>195</v>
      </c>
    </row>
    <row r="25" ht="15.75" customHeight="1">
      <c r="A25" s="86"/>
      <c r="B25" s="87"/>
      <c r="C25" s="82"/>
      <c r="D25" s="80"/>
      <c r="E25" s="64">
        <f t="shared" si="1"/>
        <v>9360</v>
      </c>
      <c r="F25" s="66">
        <f>E25/F4</f>
        <v>195</v>
      </c>
    </row>
    <row r="26" ht="15.75" customHeight="1">
      <c r="A26" s="86"/>
      <c r="B26" s="87"/>
      <c r="C26" s="82"/>
      <c r="D26" s="80"/>
      <c r="E26" s="64">
        <f t="shared" si="1"/>
        <v>9360</v>
      </c>
      <c r="F26" s="66">
        <f>E26/F4</f>
        <v>195</v>
      </c>
    </row>
    <row r="27" ht="15.75" customHeight="1">
      <c r="A27" s="86"/>
      <c r="B27" s="87"/>
      <c r="C27" s="82"/>
      <c r="D27" s="80"/>
      <c r="E27" s="64">
        <f t="shared" si="1"/>
        <v>9360</v>
      </c>
      <c r="F27" s="66">
        <f>E27/F4</f>
        <v>195</v>
      </c>
    </row>
    <row r="28" ht="15.75" customHeight="1">
      <c r="A28" s="86"/>
      <c r="B28" s="87"/>
      <c r="C28" s="82"/>
      <c r="D28" s="80"/>
      <c r="E28" s="64">
        <f t="shared" si="1"/>
        <v>9360</v>
      </c>
      <c r="F28" s="66">
        <f>E28/F4</f>
        <v>195</v>
      </c>
    </row>
    <row r="29" ht="15.75" customHeight="1">
      <c r="A29" s="86"/>
      <c r="B29" s="87"/>
      <c r="C29" s="82"/>
      <c r="D29" s="80"/>
      <c r="E29" s="64">
        <f t="shared" si="1"/>
        <v>9360</v>
      </c>
      <c r="F29" s="66">
        <f>E29/F4</f>
        <v>195</v>
      </c>
    </row>
    <row r="30" ht="15.75" customHeight="1">
      <c r="A30" s="86"/>
      <c r="B30" s="87"/>
      <c r="C30" s="82"/>
      <c r="D30" s="80"/>
      <c r="E30" s="64">
        <f t="shared" si="1"/>
        <v>9360</v>
      </c>
      <c r="F30" s="66">
        <f>E30/F4</f>
        <v>195</v>
      </c>
    </row>
    <row r="31" ht="15.75" customHeight="1">
      <c r="A31" s="89"/>
      <c r="B31" s="87"/>
      <c r="C31" s="90"/>
      <c r="D31" s="91"/>
      <c r="E31" s="64">
        <f t="shared" si="1"/>
        <v>9360</v>
      </c>
      <c r="F31" s="66">
        <f>E27/F4</f>
        <v>195</v>
      </c>
    </row>
    <row r="32" ht="15.75" customHeight="1">
      <c r="A32" s="89"/>
      <c r="B32" s="87"/>
      <c r="C32" s="90"/>
      <c r="D32" s="91"/>
      <c r="E32" s="64">
        <f t="shared" si="1"/>
        <v>9360</v>
      </c>
      <c r="F32" s="66">
        <f>E32/F4</f>
        <v>195</v>
      </c>
    </row>
    <row r="33" ht="15.75" customHeight="1">
      <c r="A33" s="89"/>
      <c r="B33" s="87"/>
      <c r="C33" s="90"/>
      <c r="D33" s="91"/>
      <c r="E33" s="64">
        <f t="shared" si="1"/>
        <v>9360</v>
      </c>
      <c r="F33" s="66">
        <f>E33/F4</f>
        <v>195</v>
      </c>
    </row>
    <row r="34" ht="15.75" customHeight="1">
      <c r="A34" s="89"/>
      <c r="B34" s="87"/>
      <c r="C34" s="90"/>
      <c r="D34" s="91"/>
      <c r="E34" s="64">
        <f t="shared" si="1"/>
        <v>9360</v>
      </c>
      <c r="F34" s="66">
        <f>E34/F4</f>
        <v>195</v>
      </c>
    </row>
    <row r="35" ht="15.75" customHeight="1">
      <c r="A35" s="89"/>
      <c r="B35" s="87"/>
      <c r="C35" s="90"/>
      <c r="D35" s="91"/>
      <c r="E35" s="64">
        <f t="shared" si="1"/>
        <v>9360</v>
      </c>
      <c r="F35" s="66">
        <f>E35/F4</f>
        <v>195</v>
      </c>
    </row>
    <row r="36" ht="15.75" customHeight="1">
      <c r="A36" s="89"/>
      <c r="B36" s="87"/>
      <c r="C36" s="90"/>
      <c r="D36" s="91"/>
      <c r="E36" s="64">
        <f t="shared" si="1"/>
        <v>9360</v>
      </c>
      <c r="F36" s="66">
        <f>E36/F4</f>
        <v>195</v>
      </c>
    </row>
    <row r="37" ht="15.75" customHeight="1">
      <c r="A37" s="89"/>
      <c r="B37" s="87"/>
      <c r="C37" s="90"/>
      <c r="D37" s="91"/>
      <c r="E37" s="64">
        <f t="shared" si="1"/>
        <v>9360</v>
      </c>
      <c r="F37" s="66">
        <f>E37/F4</f>
        <v>195</v>
      </c>
    </row>
    <row r="38" ht="15.75" customHeight="1">
      <c r="A38" s="89"/>
      <c r="B38" s="87"/>
      <c r="C38" s="90"/>
      <c r="D38" s="91"/>
      <c r="E38" s="64">
        <f t="shared" si="1"/>
        <v>9360</v>
      </c>
      <c r="F38" s="66">
        <f>E38/F4</f>
        <v>195</v>
      </c>
    </row>
    <row r="39" ht="15.75" customHeight="1">
      <c r="A39" s="89"/>
      <c r="B39" s="87"/>
      <c r="C39" s="90"/>
      <c r="D39" s="91"/>
      <c r="E39" s="64">
        <f t="shared" si="1"/>
        <v>9360</v>
      </c>
      <c r="F39" s="66">
        <f>E39/F4</f>
        <v>195</v>
      </c>
    </row>
    <row r="40" ht="15.75" customHeight="1">
      <c r="A40" s="89"/>
      <c r="B40" s="87"/>
      <c r="C40" s="90"/>
      <c r="D40" s="91"/>
      <c r="E40" s="64">
        <f t="shared" si="1"/>
        <v>9360</v>
      </c>
      <c r="F40" s="66">
        <f>E40/F4</f>
        <v>195</v>
      </c>
    </row>
    <row r="41" ht="15.75" customHeight="1">
      <c r="A41" s="89"/>
      <c r="B41" s="87"/>
      <c r="C41" s="90"/>
      <c r="D41" s="91"/>
      <c r="E41" s="64">
        <f t="shared" si="1"/>
        <v>9360</v>
      </c>
      <c r="F41" s="66">
        <f>E41/F4</f>
        <v>195</v>
      </c>
    </row>
    <row r="42" ht="15.75" customHeight="1">
      <c r="A42" s="89"/>
      <c r="B42" s="87"/>
      <c r="C42" s="90"/>
      <c r="D42" s="91"/>
      <c r="E42" s="64">
        <f t="shared" si="1"/>
        <v>9360</v>
      </c>
      <c r="F42" s="66">
        <f>E42/F4</f>
        <v>195</v>
      </c>
    </row>
    <row r="43" ht="15.75" customHeight="1">
      <c r="A43" s="89"/>
      <c r="B43" s="87"/>
      <c r="C43" s="90"/>
      <c r="D43" s="91"/>
      <c r="E43" s="64">
        <f t="shared" si="1"/>
        <v>9360</v>
      </c>
      <c r="F43" s="66">
        <f>E43/F4</f>
        <v>195</v>
      </c>
    </row>
    <row r="44" ht="15.75" customHeight="1">
      <c r="A44" s="89"/>
      <c r="B44" s="87"/>
      <c r="C44" s="90"/>
      <c r="D44" s="91"/>
      <c r="E44" s="64">
        <f t="shared" si="1"/>
        <v>9360</v>
      </c>
      <c r="F44" s="66">
        <f>E44/F4</f>
        <v>195</v>
      </c>
    </row>
    <row r="45" ht="15.75" customHeight="1">
      <c r="A45" s="89"/>
      <c r="B45" s="87"/>
      <c r="C45" s="90"/>
      <c r="D45" s="91"/>
      <c r="E45" s="64">
        <f t="shared" si="1"/>
        <v>9360</v>
      </c>
      <c r="F45" s="66">
        <f>E45/F4</f>
        <v>195</v>
      </c>
    </row>
    <row r="46" ht="15.75" customHeight="1">
      <c r="A46" s="89"/>
      <c r="B46" s="87"/>
      <c r="C46" s="90"/>
      <c r="D46" s="91"/>
      <c r="E46" s="64">
        <f t="shared" si="1"/>
        <v>9360</v>
      </c>
      <c r="F46" s="66">
        <f>E46/F4</f>
        <v>195</v>
      </c>
    </row>
    <row r="47" ht="15.75" customHeight="1">
      <c r="A47" s="89"/>
      <c r="B47" s="87"/>
      <c r="C47" s="90"/>
      <c r="D47" s="91"/>
      <c r="E47" s="64">
        <f t="shared" si="1"/>
        <v>9360</v>
      </c>
      <c r="F47" s="66">
        <f>E47/F4</f>
        <v>195</v>
      </c>
    </row>
    <row r="48" ht="15.75" customHeight="1">
      <c r="A48" s="89"/>
      <c r="B48" s="87"/>
      <c r="C48" s="90"/>
      <c r="D48" s="91"/>
      <c r="E48" s="64">
        <f t="shared" si="1"/>
        <v>9360</v>
      </c>
      <c r="F48" s="66">
        <f>E48/F4</f>
        <v>195</v>
      </c>
    </row>
    <row r="49" ht="15.75" customHeight="1">
      <c r="A49" s="90"/>
      <c r="B49" s="92"/>
      <c r="C49" s="90"/>
      <c r="D49" s="91"/>
      <c r="E49" s="64">
        <f t="shared" si="1"/>
        <v>9360</v>
      </c>
      <c r="F49" s="66">
        <f>E49/F4</f>
        <v>195</v>
      </c>
    </row>
    <row r="50" ht="15.75" customHeight="1">
      <c r="A50" s="90"/>
      <c r="B50" s="92"/>
      <c r="C50" s="90"/>
      <c r="D50" s="91"/>
      <c r="E50" s="64">
        <f t="shared" si="1"/>
        <v>9360</v>
      </c>
      <c r="F50" s="66">
        <f>E50/F4</f>
        <v>195</v>
      </c>
    </row>
    <row r="51" ht="15.75" customHeight="1">
      <c r="B51" s="101"/>
      <c r="D51" s="98"/>
      <c r="E51" s="102"/>
      <c r="F51" s="103"/>
    </row>
    <row r="52" ht="15.75" customHeight="1">
      <c r="B52" s="101"/>
      <c r="D52" s="98"/>
      <c r="E52" s="102"/>
      <c r="F52" s="103"/>
    </row>
    <row r="53" ht="15.75" customHeight="1">
      <c r="B53" s="101"/>
      <c r="D53" s="98"/>
      <c r="E53" s="102"/>
      <c r="F53" s="103"/>
    </row>
    <row r="54" ht="15.75" customHeight="1">
      <c r="B54" s="101"/>
      <c r="D54" s="98"/>
      <c r="E54" s="102"/>
      <c r="F54" s="103"/>
    </row>
    <row r="55" ht="15.75" customHeight="1">
      <c r="B55" s="101"/>
      <c r="D55" s="98"/>
      <c r="E55" s="102"/>
      <c r="F55" s="103"/>
    </row>
    <row r="56" ht="15.75" customHeight="1">
      <c r="B56" s="101"/>
      <c r="D56" s="98"/>
      <c r="E56" s="102"/>
      <c r="F56" s="103"/>
    </row>
    <row r="57" ht="15.75" customHeight="1">
      <c r="B57" s="101"/>
      <c r="D57" s="98"/>
      <c r="E57" s="102"/>
      <c r="F57" s="103"/>
    </row>
    <row r="58" ht="15.75" customHeight="1">
      <c r="B58" s="101"/>
      <c r="D58" s="98"/>
      <c r="E58" s="102"/>
      <c r="F58" s="103"/>
    </row>
    <row r="59" ht="15.75" customHeight="1">
      <c r="B59" s="101"/>
      <c r="D59" s="98"/>
      <c r="E59" s="102"/>
      <c r="F59" s="103"/>
    </row>
    <row r="60" ht="15.75" customHeight="1">
      <c r="B60" s="101"/>
      <c r="D60" s="98"/>
      <c r="E60" s="102"/>
      <c r="F60" s="103"/>
    </row>
    <row r="61" ht="15.75" customHeight="1">
      <c r="B61" s="101"/>
      <c r="D61" s="98"/>
      <c r="E61" s="102"/>
      <c r="F61" s="103"/>
    </row>
    <row r="62" ht="15.75" customHeight="1">
      <c r="B62" s="101"/>
      <c r="D62" s="98"/>
      <c r="E62" s="102"/>
      <c r="F62" s="103"/>
    </row>
    <row r="63" ht="15.75" customHeight="1">
      <c r="B63" s="101"/>
      <c r="D63" s="98"/>
      <c r="E63" s="102"/>
      <c r="F63" s="103"/>
    </row>
    <row r="64" ht="15.75" customHeight="1">
      <c r="B64" s="101"/>
      <c r="D64" s="98"/>
      <c r="E64" s="102"/>
      <c r="F64" s="103"/>
    </row>
    <row r="65" ht="15.75" customHeight="1">
      <c r="B65" s="101"/>
      <c r="D65" s="98"/>
      <c r="E65" s="102"/>
      <c r="F65" s="103"/>
    </row>
    <row r="66" ht="15.75" customHeight="1">
      <c r="B66" s="101"/>
      <c r="D66" s="98"/>
      <c r="E66" s="102"/>
      <c r="F66" s="103"/>
    </row>
    <row r="67" ht="15.75" customHeight="1">
      <c r="B67" s="101"/>
      <c r="D67" s="98"/>
      <c r="E67" s="102"/>
      <c r="F67" s="103"/>
    </row>
    <row r="68" ht="15.75" customHeight="1">
      <c r="B68" s="101"/>
      <c r="D68" s="98"/>
      <c r="E68" s="102"/>
      <c r="F68" s="103"/>
    </row>
    <row r="69" ht="15.75" customHeight="1">
      <c r="B69" s="101"/>
      <c r="D69" s="98"/>
      <c r="E69" s="102"/>
      <c r="F69" s="103"/>
    </row>
    <row r="70" ht="15.75" customHeight="1">
      <c r="B70" s="101"/>
      <c r="D70" s="98"/>
      <c r="E70" s="102"/>
      <c r="F70" s="103"/>
    </row>
    <row r="71" ht="15.75" customHeight="1">
      <c r="B71" s="101"/>
      <c r="D71" s="98"/>
      <c r="E71" s="102"/>
      <c r="F71" s="103"/>
    </row>
    <row r="72" ht="15.75" customHeight="1">
      <c r="B72" s="101"/>
      <c r="D72" s="98"/>
      <c r="E72" s="102"/>
      <c r="F72" s="103"/>
    </row>
    <row r="73" ht="15.75" customHeight="1">
      <c r="B73" s="101"/>
      <c r="D73" s="98"/>
      <c r="E73" s="102"/>
      <c r="F73" s="103"/>
    </row>
    <row r="74" ht="15.75" customHeight="1">
      <c r="B74" s="101"/>
      <c r="D74" s="98"/>
      <c r="E74" s="102"/>
      <c r="F74" s="103"/>
    </row>
    <row r="75" ht="15.75" customHeight="1">
      <c r="B75" s="101"/>
      <c r="D75" s="98"/>
      <c r="E75" s="102"/>
      <c r="F75" s="103"/>
    </row>
    <row r="76" ht="15.75" customHeight="1">
      <c r="B76" s="101"/>
      <c r="D76" s="98"/>
      <c r="E76" s="102"/>
      <c r="F76" s="103"/>
    </row>
    <row r="77" ht="15.75" customHeight="1">
      <c r="B77" s="101"/>
      <c r="D77" s="98"/>
      <c r="E77" s="102"/>
      <c r="F77" s="103"/>
    </row>
    <row r="78" ht="15.75" customHeight="1">
      <c r="B78" s="101"/>
      <c r="D78" s="98"/>
      <c r="E78" s="102"/>
      <c r="F78" s="103"/>
    </row>
    <row r="79" ht="15.75" customHeight="1">
      <c r="B79" s="101"/>
      <c r="D79" s="98"/>
      <c r="E79" s="102"/>
      <c r="F79" s="103"/>
    </row>
    <row r="80" ht="15.75" customHeight="1">
      <c r="B80" s="101"/>
      <c r="D80" s="98"/>
      <c r="E80" s="102"/>
      <c r="F80" s="103"/>
    </row>
    <row r="81" ht="15.75" customHeight="1">
      <c r="B81" s="101"/>
      <c r="D81" s="98"/>
      <c r="E81" s="102"/>
      <c r="F81" s="103"/>
    </row>
    <row r="82" ht="15.75" customHeight="1">
      <c r="B82" s="101"/>
      <c r="D82" s="98"/>
      <c r="E82" s="102"/>
      <c r="F82" s="103"/>
    </row>
    <row r="83" ht="15.75" customHeight="1">
      <c r="B83" s="101"/>
      <c r="D83" s="98"/>
      <c r="E83" s="102"/>
      <c r="F83" s="103"/>
    </row>
    <row r="84" ht="15.75" customHeight="1">
      <c r="B84" s="101"/>
      <c r="D84" s="98"/>
      <c r="E84" s="102"/>
      <c r="F84" s="103"/>
    </row>
    <row r="85" ht="15.75" customHeight="1">
      <c r="B85" s="101"/>
      <c r="D85" s="98"/>
      <c r="E85" s="102"/>
      <c r="F85" s="103"/>
    </row>
    <row r="86" ht="15.75" customHeight="1">
      <c r="B86" s="101"/>
      <c r="D86" s="98"/>
      <c r="E86" s="102"/>
      <c r="F86" s="103"/>
    </row>
    <row r="87" ht="15.75" customHeight="1">
      <c r="B87" s="101"/>
      <c r="D87" s="98"/>
      <c r="E87" s="102"/>
      <c r="F87" s="103"/>
    </row>
    <row r="88" ht="15.75" customHeight="1">
      <c r="B88" s="101"/>
      <c r="D88" s="98"/>
      <c r="E88" s="102"/>
      <c r="F88" s="103"/>
    </row>
    <row r="89" ht="15.75" customHeight="1">
      <c r="B89" s="101"/>
      <c r="D89" s="98"/>
      <c r="E89" s="102"/>
      <c r="F89" s="103"/>
    </row>
    <row r="90" ht="15.75" customHeight="1">
      <c r="B90" s="101"/>
      <c r="D90" s="98"/>
      <c r="E90" s="102"/>
      <c r="F90" s="103"/>
    </row>
    <row r="91" ht="15.75" customHeight="1">
      <c r="B91" s="101"/>
      <c r="D91" s="98"/>
      <c r="E91" s="102"/>
      <c r="F91" s="103"/>
    </row>
    <row r="92" ht="15.75" customHeight="1">
      <c r="B92" s="101"/>
      <c r="D92" s="98"/>
      <c r="E92" s="102"/>
      <c r="F92" s="103"/>
    </row>
    <row r="93" ht="15.75" customHeight="1">
      <c r="B93" s="101"/>
      <c r="D93" s="98"/>
      <c r="E93" s="102"/>
      <c r="F93" s="103"/>
    </row>
    <row r="94" ht="15.75" customHeight="1">
      <c r="B94" s="101"/>
      <c r="D94" s="98"/>
      <c r="E94" s="102"/>
      <c r="F94" s="103"/>
    </row>
    <row r="95" ht="15.75" customHeight="1">
      <c r="B95" s="101"/>
      <c r="D95" s="98"/>
      <c r="E95" s="102"/>
      <c r="F95" s="103"/>
    </row>
    <row r="96" ht="15.75" customHeight="1">
      <c r="B96" s="101"/>
      <c r="D96" s="98"/>
      <c r="E96" s="102"/>
      <c r="F96" s="103"/>
    </row>
    <row r="97" ht="15.75" customHeight="1">
      <c r="B97" s="101"/>
      <c r="D97" s="98"/>
      <c r="E97" s="102"/>
      <c r="F97" s="103"/>
    </row>
    <row r="98" ht="15.75" customHeight="1">
      <c r="B98" s="101"/>
      <c r="D98" s="98"/>
      <c r="E98" s="102"/>
      <c r="F98" s="103"/>
    </row>
    <row r="99" ht="15.75" customHeight="1">
      <c r="B99" s="101"/>
      <c r="D99" s="98"/>
      <c r="E99" s="102"/>
      <c r="F99" s="103"/>
    </row>
    <row r="100" ht="15.75" customHeight="1">
      <c r="B100" s="101"/>
      <c r="D100" s="98"/>
      <c r="E100" s="102"/>
      <c r="F100" s="103"/>
    </row>
    <row r="101" ht="15.75" customHeight="1">
      <c r="B101" s="101"/>
      <c r="D101" s="98"/>
      <c r="E101" s="102"/>
      <c r="F101" s="103"/>
    </row>
    <row r="102" ht="15.75" customHeight="1">
      <c r="B102" s="101"/>
      <c r="D102" s="98"/>
      <c r="E102" s="102"/>
      <c r="F102" s="103"/>
    </row>
    <row r="103" ht="15.75" customHeight="1">
      <c r="B103" s="101"/>
      <c r="D103" s="98"/>
      <c r="E103" s="102"/>
      <c r="F103" s="103"/>
    </row>
    <row r="104" ht="15.75" customHeight="1">
      <c r="B104" s="101"/>
      <c r="D104" s="98"/>
      <c r="E104" s="102"/>
      <c r="F104" s="103"/>
    </row>
    <row r="105" ht="15.75" customHeight="1">
      <c r="B105" s="101"/>
      <c r="D105" s="98"/>
      <c r="E105" s="102"/>
      <c r="F105" s="103"/>
    </row>
    <row r="106" ht="15.75" customHeight="1">
      <c r="B106" s="101"/>
      <c r="D106" s="98"/>
      <c r="E106" s="102"/>
      <c r="F106" s="103"/>
    </row>
    <row r="107" ht="15.75" customHeight="1">
      <c r="B107" s="101"/>
      <c r="D107" s="98"/>
      <c r="E107" s="102"/>
      <c r="F107" s="103"/>
    </row>
    <row r="108" ht="15.75" customHeight="1">
      <c r="B108" s="101"/>
      <c r="D108" s="98"/>
      <c r="E108" s="102"/>
      <c r="F108" s="103"/>
    </row>
    <row r="109" ht="15.75" customHeight="1">
      <c r="B109" s="101"/>
      <c r="D109" s="98"/>
      <c r="E109" s="102"/>
      <c r="F109" s="103"/>
    </row>
    <row r="110" ht="15.75" customHeight="1">
      <c r="B110" s="101"/>
      <c r="D110" s="98"/>
      <c r="E110" s="102"/>
      <c r="F110" s="103"/>
    </row>
    <row r="111" ht="15.75" customHeight="1">
      <c r="B111" s="101"/>
      <c r="D111" s="98"/>
      <c r="E111" s="102"/>
      <c r="F111" s="103"/>
    </row>
    <row r="112" ht="15.75" customHeight="1">
      <c r="B112" s="101"/>
      <c r="D112" s="98"/>
      <c r="E112" s="102"/>
      <c r="F112" s="103"/>
    </row>
    <row r="113" ht="15.75" customHeight="1">
      <c r="B113" s="101"/>
      <c r="D113" s="98"/>
      <c r="E113" s="102"/>
      <c r="F113" s="103"/>
    </row>
    <row r="114" ht="15.75" customHeight="1">
      <c r="B114" s="101"/>
      <c r="D114" s="98"/>
      <c r="E114" s="102"/>
      <c r="F114" s="103"/>
    </row>
    <row r="115" ht="15.75" customHeight="1">
      <c r="B115" s="101"/>
      <c r="D115" s="98"/>
      <c r="E115" s="102"/>
      <c r="F115" s="103"/>
    </row>
    <row r="116" ht="15.75" customHeight="1">
      <c r="B116" s="101"/>
      <c r="D116" s="98"/>
      <c r="E116" s="102"/>
      <c r="F116" s="103"/>
    </row>
    <row r="117" ht="15.75" customHeight="1">
      <c r="B117" s="101"/>
      <c r="D117" s="98"/>
      <c r="E117" s="102"/>
      <c r="F117" s="103"/>
    </row>
    <row r="118" ht="15.75" customHeight="1">
      <c r="B118" s="101"/>
      <c r="D118" s="98"/>
      <c r="E118" s="102"/>
      <c r="F118" s="103"/>
    </row>
    <row r="119" ht="15.75" customHeight="1">
      <c r="B119" s="101"/>
      <c r="D119" s="98"/>
      <c r="E119" s="102"/>
      <c r="F119" s="103"/>
    </row>
    <row r="120" ht="15.75" customHeight="1">
      <c r="B120" s="101"/>
      <c r="D120" s="98"/>
      <c r="E120" s="102"/>
      <c r="F120" s="103"/>
    </row>
    <row r="121" ht="15.75" customHeight="1">
      <c r="B121" s="101"/>
      <c r="D121" s="98"/>
      <c r="E121" s="102"/>
      <c r="F121" s="103"/>
    </row>
    <row r="122" ht="15.75" customHeight="1">
      <c r="B122" s="101"/>
      <c r="D122" s="98"/>
      <c r="E122" s="102"/>
      <c r="F122" s="103"/>
    </row>
    <row r="123" ht="15.75" customHeight="1">
      <c r="B123" s="101"/>
      <c r="D123" s="98"/>
      <c r="E123" s="102"/>
      <c r="F123" s="103"/>
    </row>
    <row r="124" ht="15.75" customHeight="1">
      <c r="B124" s="101"/>
      <c r="D124" s="98"/>
      <c r="E124" s="102"/>
      <c r="F124" s="103"/>
    </row>
    <row r="125" ht="15.75" customHeight="1">
      <c r="B125" s="101"/>
      <c r="D125" s="98"/>
      <c r="E125" s="102"/>
      <c r="F125" s="103"/>
    </row>
    <row r="126" ht="15.75" customHeight="1">
      <c r="B126" s="101"/>
      <c r="D126" s="98"/>
      <c r="E126" s="102"/>
      <c r="F126" s="103"/>
    </row>
    <row r="127" ht="15.75" customHeight="1">
      <c r="B127" s="101"/>
      <c r="D127" s="98"/>
      <c r="E127" s="102"/>
      <c r="F127" s="103"/>
    </row>
    <row r="128" ht="15.75" customHeight="1">
      <c r="B128" s="101"/>
      <c r="D128" s="98"/>
      <c r="E128" s="102"/>
      <c r="F128" s="103"/>
    </row>
    <row r="129" ht="15.75" customHeight="1">
      <c r="B129" s="101"/>
      <c r="D129" s="98"/>
      <c r="E129" s="102"/>
      <c r="F129" s="103"/>
    </row>
    <row r="130" ht="15.75" customHeight="1">
      <c r="B130" s="101"/>
      <c r="D130" s="98"/>
      <c r="E130" s="102"/>
      <c r="F130" s="103"/>
    </row>
    <row r="131" ht="15.75" customHeight="1">
      <c r="B131" s="101"/>
      <c r="D131" s="98"/>
      <c r="E131" s="102"/>
      <c r="F131" s="103"/>
    </row>
    <row r="132" ht="15.75" customHeight="1">
      <c r="B132" s="101"/>
      <c r="D132" s="98"/>
      <c r="E132" s="102"/>
      <c r="F132" s="103"/>
    </row>
    <row r="133" ht="15.75" customHeight="1">
      <c r="B133" s="101"/>
      <c r="D133" s="98"/>
      <c r="E133" s="102"/>
      <c r="F133" s="103"/>
    </row>
    <row r="134" ht="15.75" customHeight="1">
      <c r="B134" s="101"/>
      <c r="D134" s="98"/>
      <c r="E134" s="102"/>
      <c r="F134" s="103"/>
    </row>
    <row r="135" ht="15.75" customHeight="1">
      <c r="B135" s="101"/>
      <c r="D135" s="98"/>
      <c r="E135" s="102"/>
      <c r="F135" s="103"/>
    </row>
    <row r="136" ht="15.75" customHeight="1">
      <c r="B136" s="101"/>
      <c r="D136" s="98"/>
      <c r="E136" s="102"/>
      <c r="F136" s="103"/>
    </row>
    <row r="137" ht="15.75" customHeight="1">
      <c r="B137" s="101"/>
      <c r="D137" s="98"/>
      <c r="E137" s="102"/>
      <c r="F137" s="103"/>
    </row>
    <row r="138" ht="15.75" customHeight="1">
      <c r="B138" s="101"/>
      <c r="D138" s="98"/>
      <c r="E138" s="102"/>
      <c r="F138" s="103"/>
    </row>
    <row r="139" ht="15.75" customHeight="1">
      <c r="B139" s="101"/>
      <c r="D139" s="98"/>
      <c r="E139" s="102"/>
      <c r="F139" s="103"/>
    </row>
    <row r="140" ht="15.75" customHeight="1">
      <c r="B140" s="101"/>
      <c r="D140" s="98"/>
      <c r="E140" s="102"/>
      <c r="F140" s="103"/>
    </row>
    <row r="141" ht="15.75" customHeight="1">
      <c r="B141" s="101"/>
      <c r="D141" s="98"/>
      <c r="E141" s="102"/>
      <c r="F141" s="103"/>
    </row>
    <row r="142" ht="15.75" customHeight="1">
      <c r="B142" s="101"/>
      <c r="D142" s="98"/>
      <c r="E142" s="102"/>
      <c r="F142" s="103"/>
    </row>
    <row r="143" ht="15.75" customHeight="1">
      <c r="B143" s="101"/>
      <c r="D143" s="98"/>
      <c r="E143" s="102"/>
      <c r="F143" s="103"/>
    </row>
    <row r="144" ht="15.75" customHeight="1">
      <c r="B144" s="101"/>
      <c r="D144" s="98"/>
      <c r="E144" s="102"/>
      <c r="F144" s="103"/>
    </row>
    <row r="145" ht="15.75" customHeight="1">
      <c r="B145" s="101"/>
      <c r="D145" s="98"/>
      <c r="E145" s="102"/>
      <c r="F145" s="103"/>
    </row>
    <row r="146" ht="15.75" customHeight="1">
      <c r="B146" s="101"/>
      <c r="D146" s="98"/>
      <c r="E146" s="102"/>
      <c r="F146" s="103"/>
    </row>
    <row r="147" ht="15.75" customHeight="1">
      <c r="B147" s="101"/>
      <c r="D147" s="98"/>
      <c r="E147" s="102"/>
      <c r="F147" s="103"/>
    </row>
    <row r="148" ht="15.75" customHeight="1">
      <c r="B148" s="101"/>
      <c r="D148" s="98"/>
      <c r="E148" s="102"/>
      <c r="F148" s="103"/>
    </row>
    <row r="149" ht="15.75" customHeight="1">
      <c r="B149" s="101"/>
      <c r="D149" s="98"/>
      <c r="E149" s="102"/>
      <c r="F149" s="103"/>
    </row>
    <row r="150" ht="15.75" customHeight="1">
      <c r="B150" s="101"/>
      <c r="D150" s="98"/>
      <c r="E150" s="102"/>
      <c r="F150" s="103"/>
    </row>
    <row r="151" ht="15.75" customHeight="1">
      <c r="B151" s="101"/>
      <c r="D151" s="98"/>
      <c r="E151" s="102"/>
      <c r="F151" s="103"/>
    </row>
    <row r="152" ht="15.75" customHeight="1">
      <c r="B152" s="101"/>
      <c r="D152" s="98"/>
      <c r="E152" s="102"/>
      <c r="F152" s="103"/>
    </row>
    <row r="153" ht="15.75" customHeight="1">
      <c r="B153" s="101"/>
      <c r="D153" s="98"/>
      <c r="E153" s="102"/>
      <c r="F153" s="103"/>
    </row>
    <row r="154" ht="15.75" customHeight="1">
      <c r="B154" s="101"/>
      <c r="D154" s="98"/>
      <c r="E154" s="102"/>
      <c r="F154" s="103"/>
    </row>
    <row r="155" ht="15.75" customHeight="1">
      <c r="B155" s="101"/>
      <c r="D155" s="98"/>
      <c r="E155" s="102"/>
      <c r="F155" s="103"/>
    </row>
    <row r="156" ht="15.75" customHeight="1">
      <c r="B156" s="101"/>
      <c r="D156" s="98"/>
      <c r="E156" s="102"/>
      <c r="F156" s="103"/>
    </row>
    <row r="157" ht="15.75" customHeight="1">
      <c r="B157" s="101"/>
      <c r="D157" s="98"/>
      <c r="E157" s="102"/>
      <c r="F157" s="103"/>
    </row>
    <row r="158" ht="15.75" customHeight="1">
      <c r="B158" s="101"/>
      <c r="D158" s="98"/>
      <c r="E158" s="102"/>
      <c r="F158" s="103"/>
    </row>
    <row r="159" ht="15.75" customHeight="1">
      <c r="B159" s="101"/>
      <c r="D159" s="98"/>
      <c r="E159" s="102"/>
      <c r="F159" s="103"/>
    </row>
    <row r="160" ht="15.75" customHeight="1">
      <c r="B160" s="101"/>
      <c r="D160" s="98"/>
      <c r="E160" s="102"/>
      <c r="F160" s="103"/>
    </row>
    <row r="161" ht="15.75" customHeight="1">
      <c r="B161" s="101"/>
      <c r="D161" s="98"/>
      <c r="E161" s="102"/>
      <c r="F161" s="103"/>
    </row>
    <row r="162" ht="15.75" customHeight="1">
      <c r="B162" s="101"/>
      <c r="D162" s="98"/>
      <c r="E162" s="102"/>
      <c r="F162" s="103"/>
    </row>
    <row r="163" ht="15.75" customHeight="1">
      <c r="B163" s="101"/>
      <c r="D163" s="98"/>
      <c r="E163" s="102"/>
      <c r="F163" s="103"/>
    </row>
    <row r="164" ht="15.75" customHeight="1">
      <c r="B164" s="101"/>
      <c r="D164" s="98"/>
      <c r="E164" s="102"/>
      <c r="F164" s="103"/>
    </row>
    <row r="165" ht="15.75" customHeight="1">
      <c r="B165" s="101"/>
      <c r="D165" s="98"/>
      <c r="E165" s="102"/>
      <c r="F165" s="103"/>
    </row>
    <row r="166" ht="15.75" customHeight="1">
      <c r="B166" s="101"/>
      <c r="D166" s="98"/>
      <c r="E166" s="102"/>
      <c r="F166" s="103"/>
    </row>
    <row r="167" ht="15.75" customHeight="1">
      <c r="B167" s="101"/>
      <c r="D167" s="98"/>
      <c r="E167" s="102"/>
      <c r="F167" s="103"/>
    </row>
    <row r="168" ht="15.75" customHeight="1">
      <c r="B168" s="101"/>
      <c r="D168" s="98"/>
      <c r="E168" s="102"/>
      <c r="F168" s="103"/>
    </row>
    <row r="169" ht="15.75" customHeight="1">
      <c r="B169" s="101"/>
      <c r="D169" s="98"/>
      <c r="E169" s="102"/>
      <c r="F169" s="103"/>
    </row>
    <row r="170" ht="15.75" customHeight="1">
      <c r="B170" s="101"/>
      <c r="D170" s="98"/>
      <c r="E170" s="102"/>
      <c r="F170" s="103"/>
    </row>
    <row r="171" ht="15.75" customHeight="1">
      <c r="B171" s="101"/>
      <c r="D171" s="98"/>
      <c r="E171" s="102"/>
      <c r="F171" s="103"/>
    </row>
    <row r="172" ht="15.75" customHeight="1">
      <c r="B172" s="101"/>
      <c r="D172" s="98"/>
      <c r="E172" s="102"/>
      <c r="F172" s="103"/>
    </row>
    <row r="173" ht="15.75" customHeight="1">
      <c r="B173" s="101"/>
      <c r="D173" s="98"/>
      <c r="E173" s="102"/>
      <c r="F173" s="103"/>
    </row>
    <row r="174" ht="15.75" customHeight="1">
      <c r="B174" s="101"/>
      <c r="D174" s="98"/>
      <c r="E174" s="102"/>
      <c r="F174" s="103"/>
    </row>
    <row r="175" ht="15.75" customHeight="1">
      <c r="B175" s="101"/>
      <c r="D175" s="98"/>
      <c r="E175" s="102"/>
      <c r="F175" s="103"/>
    </row>
    <row r="176" ht="15.75" customHeight="1">
      <c r="B176" s="101"/>
      <c r="D176" s="98"/>
      <c r="E176" s="102"/>
      <c r="F176" s="103"/>
    </row>
    <row r="177" ht="15.75" customHeight="1">
      <c r="B177" s="101"/>
      <c r="D177" s="98"/>
      <c r="E177" s="102"/>
      <c r="F177" s="103"/>
    </row>
    <row r="178" ht="15.75" customHeight="1">
      <c r="B178" s="101"/>
      <c r="D178" s="98"/>
      <c r="E178" s="102"/>
      <c r="F178" s="103"/>
    </row>
    <row r="179" ht="15.75" customHeight="1">
      <c r="B179" s="101"/>
      <c r="D179" s="98"/>
      <c r="E179" s="102"/>
      <c r="F179" s="103"/>
    </row>
    <row r="180" ht="15.75" customHeight="1">
      <c r="B180" s="101"/>
      <c r="D180" s="98"/>
      <c r="E180" s="102"/>
      <c r="F180" s="103"/>
    </row>
    <row r="181" ht="15.75" customHeight="1">
      <c r="B181" s="101"/>
      <c r="D181" s="98"/>
      <c r="E181" s="102"/>
      <c r="F181" s="103"/>
    </row>
    <row r="182" ht="15.75" customHeight="1">
      <c r="B182" s="101"/>
      <c r="D182" s="98"/>
      <c r="E182" s="102"/>
      <c r="F182" s="103"/>
    </row>
    <row r="183" ht="15.75" customHeight="1">
      <c r="B183" s="101"/>
      <c r="D183" s="98"/>
      <c r="E183" s="102"/>
      <c r="F183" s="103"/>
    </row>
    <row r="184" ht="15.75" customHeight="1">
      <c r="B184" s="101"/>
      <c r="D184" s="98"/>
      <c r="E184" s="102"/>
      <c r="F184" s="103"/>
    </row>
    <row r="185" ht="15.75" customHeight="1">
      <c r="B185" s="101"/>
      <c r="D185" s="98"/>
      <c r="E185" s="102"/>
      <c r="F185" s="103"/>
    </row>
    <row r="186" ht="15.75" customHeight="1">
      <c r="B186" s="101"/>
      <c r="D186" s="98"/>
      <c r="E186" s="102"/>
      <c r="F186" s="103"/>
    </row>
    <row r="187" ht="15.75" customHeight="1">
      <c r="B187" s="101"/>
      <c r="D187" s="98"/>
      <c r="E187" s="102"/>
      <c r="F187" s="103"/>
    </row>
    <row r="188" ht="15.75" customHeight="1">
      <c r="B188" s="101"/>
      <c r="D188" s="98"/>
      <c r="E188" s="102"/>
      <c r="F188" s="103"/>
    </row>
    <row r="189" ht="15.75" customHeight="1">
      <c r="B189" s="101"/>
      <c r="D189" s="98"/>
      <c r="E189" s="102"/>
      <c r="F189" s="103"/>
    </row>
    <row r="190" ht="15.75" customHeight="1">
      <c r="B190" s="101"/>
      <c r="D190" s="98"/>
      <c r="E190" s="102"/>
      <c r="F190" s="103"/>
    </row>
    <row r="191" ht="15.75" customHeight="1">
      <c r="B191" s="101"/>
      <c r="D191" s="98"/>
      <c r="E191" s="102"/>
      <c r="F191" s="103"/>
    </row>
    <row r="192" ht="15.75" customHeight="1">
      <c r="B192" s="101"/>
      <c r="D192" s="98"/>
      <c r="E192" s="102"/>
      <c r="F192" s="103"/>
    </row>
    <row r="193" ht="15.75" customHeight="1">
      <c r="B193" s="101"/>
      <c r="D193" s="98"/>
      <c r="E193" s="102"/>
      <c r="F193" s="103"/>
    </row>
    <row r="194" ht="15.75" customHeight="1">
      <c r="B194" s="101"/>
      <c r="D194" s="98"/>
      <c r="E194" s="102"/>
      <c r="F194" s="103"/>
    </row>
    <row r="195" ht="15.75" customHeight="1">
      <c r="B195" s="101"/>
      <c r="D195" s="98"/>
      <c r="E195" s="102"/>
      <c r="F195" s="103"/>
    </row>
    <row r="196" ht="15.75" customHeight="1">
      <c r="B196" s="101"/>
      <c r="D196" s="98"/>
      <c r="E196" s="102"/>
      <c r="F196" s="103"/>
    </row>
    <row r="197" ht="15.75" customHeight="1">
      <c r="B197" s="101"/>
      <c r="D197" s="98"/>
      <c r="E197" s="102"/>
      <c r="F197" s="103"/>
    </row>
    <row r="198" ht="15.75" customHeight="1">
      <c r="B198" s="101"/>
      <c r="D198" s="98"/>
      <c r="E198" s="102"/>
      <c r="F198" s="103"/>
    </row>
    <row r="199" ht="15.75" customHeight="1">
      <c r="B199" s="101"/>
      <c r="D199" s="98"/>
      <c r="E199" s="102"/>
      <c r="F199" s="103"/>
    </row>
    <row r="200" ht="15.75" customHeight="1">
      <c r="B200" s="101"/>
      <c r="D200" s="98"/>
      <c r="E200" s="102"/>
      <c r="F200" s="103"/>
    </row>
    <row r="201" ht="15.75" customHeight="1">
      <c r="B201" s="101"/>
      <c r="D201" s="98"/>
      <c r="E201" s="102"/>
      <c r="F201" s="103"/>
    </row>
    <row r="202" ht="15.75" customHeight="1">
      <c r="B202" s="101"/>
      <c r="D202" s="98"/>
      <c r="E202" s="102"/>
      <c r="F202" s="103"/>
    </row>
    <row r="203" ht="15.75" customHeight="1">
      <c r="B203" s="101"/>
      <c r="D203" s="98"/>
      <c r="E203" s="102"/>
      <c r="F203" s="103"/>
    </row>
    <row r="204" ht="15.75" customHeight="1">
      <c r="B204" s="101"/>
      <c r="D204" s="98"/>
      <c r="E204" s="102"/>
      <c r="F204" s="103"/>
    </row>
    <row r="205" ht="15.75" customHeight="1">
      <c r="B205" s="101"/>
      <c r="D205" s="98"/>
      <c r="E205" s="102"/>
      <c r="F205" s="103"/>
    </row>
    <row r="206" ht="15.75" customHeight="1">
      <c r="B206" s="101"/>
      <c r="D206" s="98"/>
      <c r="E206" s="102"/>
      <c r="F206" s="103"/>
    </row>
    <row r="207" ht="15.75" customHeight="1">
      <c r="B207" s="101"/>
      <c r="D207" s="98"/>
      <c r="E207" s="102"/>
      <c r="F207" s="103"/>
    </row>
    <row r="208" ht="15.75" customHeight="1">
      <c r="B208" s="101"/>
      <c r="D208" s="98"/>
      <c r="E208" s="102"/>
      <c r="F208" s="103"/>
    </row>
    <row r="209" ht="15.75" customHeight="1">
      <c r="B209" s="101"/>
      <c r="D209" s="98"/>
      <c r="E209" s="102"/>
      <c r="F209" s="103"/>
    </row>
    <row r="210" ht="15.75" customHeight="1">
      <c r="B210" s="101"/>
      <c r="D210" s="98"/>
      <c r="E210" s="102"/>
      <c r="F210" s="103"/>
    </row>
    <row r="211" ht="15.75" customHeight="1">
      <c r="B211" s="101"/>
      <c r="D211" s="98"/>
      <c r="E211" s="102"/>
      <c r="F211" s="103"/>
    </row>
    <row r="212" ht="15.75" customHeight="1">
      <c r="B212" s="101"/>
      <c r="D212" s="98"/>
      <c r="E212" s="102"/>
      <c r="F212" s="103"/>
    </row>
    <row r="213" ht="15.75" customHeight="1">
      <c r="B213" s="101"/>
      <c r="D213" s="98"/>
      <c r="E213" s="102"/>
      <c r="F213" s="103"/>
    </row>
    <row r="214" ht="15.75" customHeight="1">
      <c r="B214" s="101"/>
      <c r="D214" s="98"/>
      <c r="E214" s="102"/>
      <c r="F214" s="103"/>
    </row>
    <row r="215" ht="15.75" customHeight="1">
      <c r="B215" s="101"/>
      <c r="D215" s="98"/>
      <c r="E215" s="102"/>
      <c r="F215" s="103"/>
    </row>
    <row r="216" ht="15.75" customHeight="1">
      <c r="B216" s="101"/>
      <c r="D216" s="98"/>
      <c r="E216" s="102"/>
      <c r="F216" s="103"/>
    </row>
    <row r="217" ht="15.75" customHeight="1">
      <c r="B217" s="101"/>
      <c r="D217" s="98"/>
      <c r="E217" s="102"/>
      <c r="F217" s="103"/>
    </row>
    <row r="218" ht="15.75" customHeight="1">
      <c r="B218" s="101"/>
      <c r="D218" s="98"/>
      <c r="E218" s="102"/>
      <c r="F218" s="103"/>
    </row>
    <row r="219" ht="15.75" customHeight="1">
      <c r="B219" s="101"/>
      <c r="D219" s="98"/>
      <c r="E219" s="102"/>
      <c r="F219" s="103"/>
    </row>
    <row r="220" ht="15.75" customHeight="1">
      <c r="B220" s="101"/>
      <c r="D220" s="98"/>
      <c r="E220" s="102"/>
      <c r="F220" s="103"/>
    </row>
    <row r="221" ht="15.75" customHeight="1">
      <c r="B221" s="101"/>
      <c r="D221" s="98"/>
      <c r="E221" s="102"/>
      <c r="F221" s="103"/>
    </row>
    <row r="222" ht="15.75" customHeight="1">
      <c r="B222" s="101"/>
      <c r="D222" s="98"/>
      <c r="E222" s="102"/>
      <c r="F222" s="103"/>
    </row>
    <row r="223" ht="15.75" customHeight="1">
      <c r="B223" s="101"/>
      <c r="D223" s="98"/>
      <c r="E223" s="102"/>
      <c r="F223" s="103"/>
    </row>
    <row r="224" ht="15.75" customHeight="1">
      <c r="B224" s="101"/>
      <c r="D224" s="98"/>
      <c r="E224" s="102"/>
      <c r="F224" s="103"/>
    </row>
    <row r="225" ht="15.75" customHeight="1">
      <c r="B225" s="101"/>
      <c r="D225" s="98"/>
      <c r="E225" s="102"/>
      <c r="F225" s="103"/>
    </row>
    <row r="226" ht="15.75" customHeight="1">
      <c r="B226" s="101"/>
      <c r="D226" s="98"/>
      <c r="E226" s="102"/>
      <c r="F226" s="103"/>
    </row>
    <row r="227" ht="15.75" customHeight="1">
      <c r="B227" s="101"/>
      <c r="D227" s="98"/>
      <c r="E227" s="102"/>
      <c r="F227" s="103"/>
    </row>
    <row r="228" ht="15.75" customHeight="1">
      <c r="B228" s="101"/>
      <c r="D228" s="98"/>
      <c r="E228" s="102"/>
      <c r="F228" s="103"/>
    </row>
    <row r="229" ht="15.75" customHeight="1">
      <c r="B229" s="101"/>
      <c r="D229" s="98"/>
      <c r="E229" s="102"/>
      <c r="F229" s="103"/>
    </row>
    <row r="230" ht="15.75" customHeight="1">
      <c r="B230" s="101"/>
      <c r="D230" s="98"/>
      <c r="E230" s="102"/>
      <c r="F230" s="103"/>
    </row>
    <row r="231" ht="15.75" customHeight="1">
      <c r="B231" s="101"/>
      <c r="D231" s="98"/>
      <c r="E231" s="102"/>
      <c r="F231" s="103"/>
    </row>
    <row r="232" ht="15.75" customHeight="1">
      <c r="B232" s="101"/>
      <c r="D232" s="98"/>
      <c r="E232" s="102"/>
      <c r="F232" s="103"/>
    </row>
    <row r="233" ht="15.75" customHeight="1">
      <c r="B233" s="101"/>
      <c r="D233" s="98"/>
      <c r="E233" s="102"/>
      <c r="F233" s="103"/>
    </row>
    <row r="234" ht="15.75" customHeight="1">
      <c r="B234" s="101"/>
      <c r="D234" s="98"/>
      <c r="E234" s="102"/>
      <c r="F234" s="103"/>
    </row>
    <row r="235" ht="15.75" customHeight="1">
      <c r="B235" s="101"/>
      <c r="D235" s="98"/>
      <c r="E235" s="102"/>
      <c r="F235" s="103"/>
    </row>
    <row r="236" ht="15.75" customHeight="1">
      <c r="B236" s="101"/>
      <c r="D236" s="98"/>
      <c r="E236" s="102"/>
      <c r="F236" s="103"/>
    </row>
    <row r="237" ht="15.75" customHeight="1">
      <c r="B237" s="101"/>
      <c r="D237" s="98"/>
      <c r="E237" s="102"/>
      <c r="F237" s="103"/>
    </row>
    <row r="238" ht="15.75" customHeight="1">
      <c r="B238" s="101"/>
      <c r="D238" s="98"/>
      <c r="E238" s="102"/>
      <c r="F238" s="103"/>
    </row>
    <row r="239" ht="15.75" customHeight="1">
      <c r="B239" s="101"/>
      <c r="D239" s="98"/>
      <c r="E239" s="102"/>
      <c r="F239" s="103"/>
    </row>
    <row r="240" ht="15.75" customHeight="1">
      <c r="B240" s="101"/>
      <c r="D240" s="98"/>
      <c r="E240" s="102"/>
      <c r="F240" s="103"/>
    </row>
    <row r="241" ht="15.75" customHeight="1">
      <c r="B241" s="101"/>
      <c r="D241" s="98"/>
      <c r="E241" s="102"/>
      <c r="F241" s="103"/>
    </row>
    <row r="242" ht="15.75" customHeight="1">
      <c r="B242" s="101"/>
      <c r="D242" s="98"/>
      <c r="E242" s="102"/>
      <c r="F242" s="103"/>
    </row>
    <row r="243" ht="15.75" customHeight="1">
      <c r="B243" s="101"/>
      <c r="D243" s="98"/>
      <c r="E243" s="102"/>
      <c r="F243" s="103"/>
    </row>
    <row r="244" ht="15.75" customHeight="1">
      <c r="B244" s="101"/>
      <c r="D244" s="98"/>
      <c r="E244" s="102"/>
      <c r="F244" s="103"/>
    </row>
    <row r="245" ht="15.75" customHeight="1">
      <c r="B245" s="101"/>
      <c r="D245" s="98"/>
      <c r="E245" s="102"/>
      <c r="F245" s="103"/>
    </row>
    <row r="246" ht="15.75" customHeight="1">
      <c r="B246" s="101"/>
      <c r="D246" s="98"/>
      <c r="E246" s="102"/>
      <c r="F246" s="103"/>
    </row>
    <row r="247" ht="15.75" customHeight="1">
      <c r="B247" s="101"/>
      <c r="D247" s="98"/>
      <c r="E247" s="102"/>
      <c r="F247" s="103"/>
    </row>
    <row r="248" ht="15.75" customHeight="1">
      <c r="B248" s="101"/>
      <c r="D248" s="98"/>
      <c r="E248" s="102"/>
      <c r="F248" s="103"/>
    </row>
    <row r="249" ht="15.75" customHeight="1">
      <c r="B249" s="101"/>
      <c r="D249" s="98"/>
      <c r="E249" s="102"/>
      <c r="F249" s="103"/>
    </row>
    <row r="250" ht="15.75" customHeight="1">
      <c r="B250" s="101"/>
      <c r="D250" s="98"/>
      <c r="E250" s="102"/>
      <c r="F250" s="103"/>
    </row>
    <row r="251" ht="15.75" customHeight="1">
      <c r="B251" s="101"/>
      <c r="D251" s="98"/>
      <c r="E251" s="102"/>
      <c r="F251" s="103"/>
    </row>
    <row r="252" ht="15.75" customHeight="1">
      <c r="B252" s="101"/>
      <c r="D252" s="98"/>
      <c r="E252" s="102"/>
      <c r="F252" s="103"/>
    </row>
    <row r="253" ht="15.75" customHeight="1">
      <c r="B253" s="101"/>
      <c r="D253" s="98"/>
      <c r="E253" s="102"/>
      <c r="F253" s="103"/>
    </row>
    <row r="254" ht="15.75" customHeight="1">
      <c r="B254" s="101"/>
      <c r="D254" s="98"/>
      <c r="E254" s="102"/>
      <c r="F254" s="103"/>
    </row>
    <row r="255" ht="15.75" customHeight="1">
      <c r="B255" s="101"/>
      <c r="D255" s="98"/>
      <c r="E255" s="102"/>
      <c r="F255" s="103"/>
    </row>
    <row r="256" ht="15.75" customHeight="1">
      <c r="B256" s="101"/>
      <c r="D256" s="98"/>
      <c r="E256" s="102"/>
      <c r="F256" s="103"/>
    </row>
    <row r="257" ht="15.75" customHeight="1">
      <c r="B257" s="101"/>
      <c r="D257" s="98"/>
      <c r="E257" s="102"/>
      <c r="F257" s="103"/>
    </row>
    <row r="258" ht="15.75" customHeight="1">
      <c r="B258" s="101"/>
      <c r="D258" s="98"/>
      <c r="E258" s="102"/>
      <c r="F258" s="103"/>
    </row>
    <row r="259" ht="15.75" customHeight="1">
      <c r="B259" s="101"/>
      <c r="D259" s="98"/>
      <c r="E259" s="102"/>
      <c r="F259" s="103"/>
    </row>
    <row r="260" ht="15.75" customHeight="1">
      <c r="B260" s="101"/>
      <c r="D260" s="98"/>
      <c r="E260" s="102"/>
      <c r="F260" s="103"/>
    </row>
    <row r="261" ht="15.75" customHeight="1">
      <c r="B261" s="101"/>
      <c r="D261" s="98"/>
      <c r="E261" s="102"/>
      <c r="F261" s="103"/>
    </row>
    <row r="262" ht="15.75" customHeight="1">
      <c r="B262" s="101"/>
      <c r="D262" s="98"/>
      <c r="E262" s="102"/>
      <c r="F262" s="103"/>
    </row>
    <row r="263" ht="15.75" customHeight="1">
      <c r="B263" s="101"/>
      <c r="D263" s="98"/>
      <c r="E263" s="102"/>
      <c r="F263" s="103"/>
    </row>
    <row r="264" ht="15.75" customHeight="1">
      <c r="B264" s="101"/>
      <c r="D264" s="98"/>
      <c r="E264" s="102"/>
      <c r="F264" s="103"/>
    </row>
    <row r="265" ht="15.75" customHeight="1">
      <c r="B265" s="101"/>
      <c r="D265" s="98"/>
      <c r="E265" s="102"/>
      <c r="F265" s="103"/>
    </row>
    <row r="266" ht="15.75" customHeight="1">
      <c r="B266" s="101"/>
      <c r="D266" s="98"/>
      <c r="E266" s="102"/>
      <c r="F266" s="103"/>
    </row>
    <row r="267" ht="15.75" customHeight="1">
      <c r="B267" s="101"/>
      <c r="D267" s="98"/>
      <c r="E267" s="102"/>
      <c r="F267" s="103"/>
    </row>
    <row r="268" ht="15.75" customHeight="1">
      <c r="B268" s="101"/>
      <c r="D268" s="98"/>
      <c r="E268" s="102"/>
      <c r="F268" s="103"/>
    </row>
    <row r="269" ht="15.75" customHeight="1">
      <c r="B269" s="101"/>
      <c r="D269" s="98"/>
      <c r="E269" s="102"/>
      <c r="F269" s="103"/>
    </row>
    <row r="270" ht="15.75" customHeight="1">
      <c r="B270" s="101"/>
      <c r="D270" s="98"/>
      <c r="E270" s="102"/>
      <c r="F270" s="103"/>
    </row>
    <row r="271" ht="15.75" customHeight="1">
      <c r="B271" s="101"/>
      <c r="D271" s="98"/>
      <c r="E271" s="102"/>
      <c r="F271" s="103"/>
    </row>
    <row r="272" ht="15.75" customHeight="1">
      <c r="B272" s="101"/>
      <c r="D272" s="98"/>
      <c r="E272" s="102"/>
      <c r="F272" s="103"/>
    </row>
    <row r="273" ht="15.75" customHeight="1">
      <c r="B273" s="101"/>
      <c r="D273" s="98"/>
      <c r="E273" s="102"/>
      <c r="F273" s="103"/>
    </row>
    <row r="274" ht="15.75" customHeight="1">
      <c r="B274" s="101"/>
      <c r="D274" s="98"/>
      <c r="E274" s="102"/>
      <c r="F274" s="103"/>
    </row>
    <row r="275" ht="15.75" customHeight="1">
      <c r="B275" s="101"/>
      <c r="D275" s="98"/>
      <c r="E275" s="102"/>
      <c r="F275" s="103"/>
    </row>
    <row r="276" ht="15.75" customHeight="1">
      <c r="B276" s="101"/>
      <c r="D276" s="98"/>
      <c r="E276" s="102"/>
      <c r="F276" s="103"/>
    </row>
    <row r="277" ht="15.75" customHeight="1">
      <c r="B277" s="101"/>
      <c r="D277" s="98"/>
      <c r="E277" s="102"/>
      <c r="F277" s="103"/>
    </row>
    <row r="278" ht="15.75" customHeight="1">
      <c r="B278" s="101"/>
      <c r="D278" s="98"/>
      <c r="E278" s="102"/>
      <c r="F278" s="103"/>
    </row>
    <row r="279" ht="15.75" customHeight="1">
      <c r="B279" s="101"/>
      <c r="D279" s="98"/>
      <c r="E279" s="102"/>
      <c r="F279" s="103"/>
    </row>
    <row r="280" ht="15.75" customHeight="1">
      <c r="B280" s="101"/>
      <c r="D280" s="98"/>
      <c r="E280" s="102"/>
      <c r="F280" s="103"/>
    </row>
    <row r="281" ht="15.75" customHeight="1">
      <c r="B281" s="101"/>
      <c r="D281" s="98"/>
      <c r="E281" s="102"/>
      <c r="F281" s="103"/>
    </row>
    <row r="282" ht="15.75" customHeight="1">
      <c r="B282" s="101"/>
      <c r="D282" s="98"/>
      <c r="E282" s="102"/>
      <c r="F282" s="103"/>
    </row>
    <row r="283" ht="15.75" customHeight="1">
      <c r="B283" s="101"/>
      <c r="D283" s="98"/>
      <c r="E283" s="102"/>
      <c r="F283" s="103"/>
    </row>
    <row r="284" ht="15.75" customHeight="1">
      <c r="B284" s="101"/>
      <c r="D284" s="98"/>
      <c r="E284" s="102"/>
      <c r="F284" s="103"/>
    </row>
    <row r="285" ht="15.75" customHeight="1">
      <c r="B285" s="101"/>
      <c r="D285" s="98"/>
      <c r="E285" s="102"/>
      <c r="F285" s="103"/>
    </row>
    <row r="286" ht="15.75" customHeight="1">
      <c r="B286" s="101"/>
      <c r="D286" s="98"/>
      <c r="E286" s="102"/>
      <c r="F286" s="103"/>
    </row>
    <row r="287" ht="15.75" customHeight="1">
      <c r="B287" s="101"/>
      <c r="D287" s="98"/>
      <c r="E287" s="102"/>
      <c r="F287" s="103"/>
    </row>
    <row r="288" ht="15.75" customHeight="1">
      <c r="B288" s="101"/>
      <c r="D288" s="98"/>
      <c r="E288" s="102"/>
      <c r="F288" s="103"/>
    </row>
    <row r="289" ht="15.75" customHeight="1">
      <c r="B289" s="101"/>
      <c r="D289" s="98"/>
      <c r="E289" s="102"/>
      <c r="F289" s="103"/>
    </row>
    <row r="290" ht="15.75" customHeight="1">
      <c r="B290" s="101"/>
      <c r="D290" s="98"/>
      <c r="E290" s="102"/>
      <c r="F290" s="103"/>
    </row>
    <row r="291" ht="15.75" customHeight="1">
      <c r="B291" s="101"/>
      <c r="D291" s="98"/>
      <c r="E291" s="102"/>
      <c r="F291" s="103"/>
    </row>
    <row r="292" ht="15.75" customHeight="1">
      <c r="B292" s="101"/>
      <c r="D292" s="98"/>
      <c r="E292" s="102"/>
      <c r="F292" s="103"/>
    </row>
    <row r="293" ht="15.75" customHeight="1">
      <c r="B293" s="101"/>
      <c r="D293" s="98"/>
      <c r="E293" s="102"/>
      <c r="F293" s="103"/>
    </row>
    <row r="294" ht="15.75" customHeight="1">
      <c r="B294" s="101"/>
      <c r="D294" s="98"/>
      <c r="E294" s="102"/>
      <c r="F294" s="103"/>
    </row>
    <row r="295" ht="15.75" customHeight="1">
      <c r="B295" s="101"/>
      <c r="D295" s="98"/>
      <c r="E295" s="102"/>
      <c r="F295" s="103"/>
    </row>
    <row r="296" ht="15.75" customHeight="1">
      <c r="B296" s="101"/>
      <c r="D296" s="98"/>
      <c r="E296" s="102"/>
      <c r="F296" s="103"/>
    </row>
    <row r="297" ht="15.75" customHeight="1">
      <c r="B297" s="101"/>
      <c r="D297" s="98"/>
      <c r="E297" s="102"/>
      <c r="F297" s="103"/>
    </row>
    <row r="298" ht="15.75" customHeight="1">
      <c r="B298" s="101"/>
      <c r="D298" s="98"/>
      <c r="E298" s="102"/>
      <c r="F298" s="103"/>
    </row>
    <row r="299" ht="15.75" customHeight="1">
      <c r="B299" s="101"/>
      <c r="D299" s="98"/>
      <c r="E299" s="102"/>
      <c r="F299" s="103"/>
    </row>
    <row r="300" ht="15.75" customHeight="1">
      <c r="B300" s="101"/>
      <c r="D300" s="98"/>
      <c r="E300" s="102"/>
      <c r="F300" s="103"/>
    </row>
    <row r="301" ht="15.75" customHeight="1">
      <c r="B301" s="101"/>
      <c r="D301" s="98"/>
      <c r="E301" s="102"/>
      <c r="F301" s="103"/>
    </row>
    <row r="302" ht="15.75" customHeight="1">
      <c r="B302" s="101"/>
      <c r="D302" s="98"/>
      <c r="E302" s="102"/>
      <c r="F302" s="103"/>
    </row>
    <row r="303" ht="15.75" customHeight="1">
      <c r="B303" s="101"/>
      <c r="D303" s="98"/>
      <c r="E303" s="102"/>
      <c r="F303" s="103"/>
    </row>
    <row r="304" ht="15.75" customHeight="1">
      <c r="B304" s="101"/>
      <c r="D304" s="98"/>
      <c r="E304" s="102"/>
      <c r="F304" s="103"/>
    </row>
    <row r="305" ht="15.75" customHeight="1">
      <c r="B305" s="101"/>
      <c r="D305" s="98"/>
      <c r="E305" s="102"/>
      <c r="F305" s="103"/>
    </row>
    <row r="306" ht="15.75" customHeight="1">
      <c r="B306" s="101"/>
      <c r="D306" s="98"/>
      <c r="E306" s="102"/>
      <c r="F306" s="103"/>
    </row>
    <row r="307" ht="15.75" customHeight="1">
      <c r="B307" s="101"/>
      <c r="D307" s="98"/>
      <c r="E307" s="102"/>
      <c r="F307" s="103"/>
    </row>
    <row r="308" ht="15.75" customHeight="1">
      <c r="B308" s="101"/>
      <c r="D308" s="98"/>
      <c r="E308" s="102"/>
      <c r="F308" s="103"/>
    </row>
    <row r="309" ht="15.75" customHeight="1">
      <c r="B309" s="101"/>
      <c r="D309" s="98"/>
      <c r="E309" s="102"/>
      <c r="F309" s="103"/>
    </row>
    <row r="310" ht="15.75" customHeight="1">
      <c r="B310" s="101"/>
      <c r="D310" s="98"/>
      <c r="E310" s="102"/>
      <c r="F310" s="103"/>
    </row>
    <row r="311" ht="15.75" customHeight="1">
      <c r="B311" s="101"/>
      <c r="D311" s="98"/>
      <c r="E311" s="102"/>
      <c r="F311" s="103"/>
    </row>
    <row r="312" ht="15.75" customHeight="1">
      <c r="B312" s="101"/>
      <c r="D312" s="98"/>
      <c r="E312" s="102"/>
      <c r="F312" s="103"/>
    </row>
    <row r="313" ht="15.75" customHeight="1">
      <c r="B313" s="101"/>
      <c r="D313" s="98"/>
      <c r="E313" s="102"/>
      <c r="F313" s="103"/>
    </row>
    <row r="314" ht="15.75" customHeight="1">
      <c r="B314" s="101"/>
      <c r="D314" s="98"/>
      <c r="E314" s="102"/>
      <c r="F314" s="103"/>
    </row>
    <row r="315" ht="15.75" customHeight="1">
      <c r="B315" s="101"/>
      <c r="D315" s="98"/>
      <c r="E315" s="102"/>
      <c r="F315" s="103"/>
    </row>
    <row r="316" ht="15.75" customHeight="1">
      <c r="B316" s="101"/>
      <c r="D316" s="98"/>
      <c r="E316" s="102"/>
      <c r="F316" s="103"/>
    </row>
    <row r="317" ht="15.75" customHeight="1">
      <c r="B317" s="101"/>
      <c r="D317" s="98"/>
      <c r="E317" s="102"/>
      <c r="F317" s="103"/>
    </row>
    <row r="318" ht="15.75" customHeight="1">
      <c r="B318" s="101"/>
      <c r="D318" s="98"/>
      <c r="E318" s="102"/>
      <c r="F318" s="103"/>
    </row>
    <row r="319" ht="15.75" customHeight="1">
      <c r="B319" s="101"/>
      <c r="D319" s="98"/>
      <c r="E319" s="102"/>
      <c r="F319" s="103"/>
    </row>
    <row r="320" ht="15.75" customHeight="1">
      <c r="B320" s="101"/>
      <c r="D320" s="98"/>
      <c r="E320" s="102"/>
      <c r="F320" s="103"/>
    </row>
    <row r="321" ht="15.75" customHeight="1">
      <c r="B321" s="101"/>
      <c r="D321" s="98"/>
      <c r="E321" s="102"/>
      <c r="F321" s="103"/>
    </row>
    <row r="322" ht="15.75" customHeight="1">
      <c r="B322" s="101"/>
      <c r="D322" s="98"/>
      <c r="E322" s="102"/>
      <c r="F322" s="103"/>
    </row>
    <row r="323" ht="15.75" customHeight="1">
      <c r="B323" s="101"/>
      <c r="D323" s="98"/>
      <c r="E323" s="102"/>
      <c r="F323" s="103"/>
    </row>
    <row r="324" ht="15.75" customHeight="1">
      <c r="B324" s="101"/>
      <c r="D324" s="98"/>
      <c r="E324" s="102"/>
      <c r="F324" s="103"/>
    </row>
    <row r="325" ht="15.75" customHeight="1">
      <c r="B325" s="101"/>
      <c r="D325" s="98"/>
      <c r="E325" s="102"/>
      <c r="F325" s="103"/>
    </row>
    <row r="326" ht="15.75" customHeight="1">
      <c r="B326" s="101"/>
      <c r="D326" s="98"/>
      <c r="E326" s="102"/>
      <c r="F326" s="103"/>
    </row>
    <row r="327" ht="15.75" customHeight="1">
      <c r="B327" s="101"/>
      <c r="D327" s="98"/>
      <c r="E327" s="102"/>
      <c r="F327" s="103"/>
    </row>
    <row r="328" ht="15.75" customHeight="1">
      <c r="B328" s="101"/>
      <c r="D328" s="98"/>
      <c r="E328" s="102"/>
      <c r="F328" s="103"/>
    </row>
    <row r="329" ht="15.75" customHeight="1">
      <c r="B329" s="101"/>
      <c r="D329" s="98"/>
      <c r="E329" s="102"/>
      <c r="F329" s="103"/>
    </row>
    <row r="330" ht="15.75" customHeight="1">
      <c r="B330" s="101"/>
      <c r="D330" s="98"/>
      <c r="E330" s="102"/>
      <c r="F330" s="103"/>
    </row>
    <row r="331" ht="15.75" customHeight="1">
      <c r="B331" s="101"/>
      <c r="D331" s="98"/>
      <c r="E331" s="102"/>
      <c r="F331" s="103"/>
    </row>
    <row r="332" ht="15.75" customHeight="1">
      <c r="B332" s="101"/>
      <c r="D332" s="98"/>
      <c r="E332" s="102"/>
      <c r="F332" s="103"/>
    </row>
    <row r="333" ht="15.75" customHeight="1">
      <c r="B333" s="101"/>
      <c r="D333" s="98"/>
      <c r="E333" s="102"/>
      <c r="F333" s="103"/>
    </row>
    <row r="334" ht="15.75" customHeight="1">
      <c r="B334" s="101"/>
      <c r="D334" s="98"/>
      <c r="E334" s="102"/>
      <c r="F334" s="103"/>
    </row>
    <row r="335" ht="15.75" customHeight="1">
      <c r="B335" s="101"/>
      <c r="D335" s="98"/>
      <c r="E335" s="102"/>
      <c r="F335" s="103"/>
    </row>
    <row r="336" ht="15.75" customHeight="1">
      <c r="B336" s="101"/>
      <c r="D336" s="98"/>
      <c r="E336" s="102"/>
      <c r="F336" s="103"/>
    </row>
    <row r="337" ht="15.75" customHeight="1">
      <c r="B337" s="101"/>
      <c r="D337" s="98"/>
      <c r="E337" s="102"/>
      <c r="F337" s="103"/>
    </row>
    <row r="338" ht="15.75" customHeight="1">
      <c r="B338" s="101"/>
      <c r="D338" s="98"/>
      <c r="E338" s="102"/>
      <c r="F338" s="103"/>
    </row>
    <row r="339" ht="15.75" customHeight="1">
      <c r="B339" s="101"/>
      <c r="D339" s="98"/>
      <c r="E339" s="102"/>
      <c r="F339" s="103"/>
    </row>
    <row r="340" ht="15.75" customHeight="1">
      <c r="B340" s="101"/>
      <c r="D340" s="98"/>
      <c r="E340" s="102"/>
      <c r="F340" s="103"/>
    </row>
    <row r="341" ht="15.75" customHeight="1">
      <c r="B341" s="101"/>
      <c r="D341" s="98"/>
      <c r="E341" s="102"/>
      <c r="F341" s="103"/>
    </row>
    <row r="342" ht="15.75" customHeight="1">
      <c r="B342" s="101"/>
      <c r="D342" s="98"/>
      <c r="E342" s="102"/>
      <c r="F342" s="103"/>
    </row>
    <row r="343" ht="15.75" customHeight="1">
      <c r="B343" s="101"/>
      <c r="D343" s="98"/>
      <c r="E343" s="102"/>
      <c r="F343" s="103"/>
    </row>
    <row r="344" ht="15.75" customHeight="1">
      <c r="B344" s="101"/>
      <c r="D344" s="98"/>
      <c r="E344" s="102"/>
      <c r="F344" s="103"/>
    </row>
    <row r="345" ht="15.75" customHeight="1">
      <c r="B345" s="101"/>
      <c r="D345" s="98"/>
      <c r="E345" s="102"/>
      <c r="F345" s="103"/>
    </row>
    <row r="346" ht="15.75" customHeight="1">
      <c r="B346" s="101"/>
      <c r="D346" s="98"/>
      <c r="E346" s="102"/>
      <c r="F346" s="103"/>
    </row>
    <row r="347" ht="15.75" customHeight="1">
      <c r="B347" s="101"/>
      <c r="D347" s="98"/>
      <c r="E347" s="102"/>
      <c r="F347" s="103"/>
    </row>
    <row r="348" ht="15.75" customHeight="1">
      <c r="B348" s="101"/>
      <c r="D348" s="98"/>
      <c r="E348" s="102"/>
      <c r="F348" s="103"/>
    </row>
    <row r="349" ht="15.75" customHeight="1">
      <c r="B349" s="101"/>
      <c r="D349" s="98"/>
      <c r="E349" s="102"/>
      <c r="F349" s="103"/>
    </row>
    <row r="350" ht="15.75" customHeight="1">
      <c r="B350" s="101"/>
      <c r="D350" s="98"/>
      <c r="E350" s="102"/>
      <c r="F350" s="103"/>
    </row>
    <row r="351" ht="15.75" customHeight="1">
      <c r="B351" s="101"/>
      <c r="D351" s="98"/>
      <c r="E351" s="102"/>
      <c r="F351" s="103"/>
    </row>
    <row r="352" ht="15.75" customHeight="1">
      <c r="B352" s="101"/>
      <c r="D352" s="98"/>
      <c r="E352" s="102"/>
      <c r="F352" s="103"/>
    </row>
    <row r="353" ht="15.75" customHeight="1">
      <c r="B353" s="101"/>
      <c r="D353" s="98"/>
      <c r="E353" s="102"/>
      <c r="F353" s="103"/>
    </row>
    <row r="354" ht="15.75" customHeight="1">
      <c r="B354" s="101"/>
      <c r="D354" s="98"/>
      <c r="E354" s="102"/>
      <c r="F354" s="103"/>
    </row>
    <row r="355" ht="15.75" customHeight="1">
      <c r="B355" s="101"/>
      <c r="D355" s="98"/>
      <c r="E355" s="102"/>
      <c r="F355" s="103"/>
    </row>
    <row r="356" ht="15.75" customHeight="1">
      <c r="B356" s="101"/>
      <c r="D356" s="98"/>
      <c r="E356" s="102"/>
      <c r="F356" s="103"/>
    </row>
    <row r="357" ht="15.75" customHeight="1">
      <c r="B357" s="101"/>
      <c r="D357" s="98"/>
      <c r="E357" s="102"/>
      <c r="F357" s="103"/>
    </row>
    <row r="358" ht="15.75" customHeight="1">
      <c r="B358" s="101"/>
      <c r="D358" s="98"/>
      <c r="E358" s="102"/>
      <c r="F358" s="103"/>
    </row>
    <row r="359" ht="15.75" customHeight="1">
      <c r="B359" s="101"/>
      <c r="D359" s="98"/>
      <c r="E359" s="102"/>
      <c r="F359" s="103"/>
    </row>
    <row r="360" ht="15.75" customHeight="1">
      <c r="B360" s="101"/>
      <c r="D360" s="98"/>
      <c r="E360" s="102"/>
      <c r="F360" s="103"/>
    </row>
    <row r="361" ht="15.75" customHeight="1">
      <c r="B361" s="101"/>
      <c r="D361" s="98"/>
      <c r="E361" s="102"/>
      <c r="F361" s="103"/>
    </row>
    <row r="362" ht="15.75" customHeight="1">
      <c r="B362" s="101"/>
      <c r="D362" s="98"/>
      <c r="E362" s="102"/>
      <c r="F362" s="103"/>
    </row>
    <row r="363" ht="15.75" customHeight="1">
      <c r="B363" s="101"/>
      <c r="D363" s="98"/>
      <c r="E363" s="102"/>
      <c r="F363" s="103"/>
    </row>
    <row r="364" ht="15.75" customHeight="1">
      <c r="B364" s="101"/>
      <c r="D364" s="98"/>
      <c r="E364" s="102"/>
      <c r="F364" s="103"/>
    </row>
    <row r="365" ht="15.75" customHeight="1">
      <c r="B365" s="101"/>
      <c r="D365" s="98"/>
      <c r="E365" s="102"/>
      <c r="F365" s="103"/>
    </row>
    <row r="366" ht="15.75" customHeight="1">
      <c r="B366" s="101"/>
      <c r="D366" s="98"/>
      <c r="E366" s="102"/>
      <c r="F366" s="103"/>
    </row>
    <row r="367" ht="15.75" customHeight="1">
      <c r="B367" s="101"/>
      <c r="D367" s="98"/>
      <c r="E367" s="102"/>
      <c r="F367" s="103"/>
    </row>
    <row r="368" ht="15.75" customHeight="1">
      <c r="B368" s="101"/>
      <c r="D368" s="98"/>
      <c r="E368" s="102"/>
      <c r="F368" s="103"/>
    </row>
    <row r="369" ht="15.75" customHeight="1">
      <c r="B369" s="101"/>
      <c r="D369" s="98"/>
      <c r="E369" s="102"/>
      <c r="F369" s="103"/>
    </row>
    <row r="370" ht="15.75" customHeight="1">
      <c r="B370" s="101"/>
      <c r="D370" s="98"/>
      <c r="E370" s="102"/>
      <c r="F370" s="103"/>
    </row>
    <row r="371" ht="15.75" customHeight="1">
      <c r="B371" s="101"/>
      <c r="D371" s="98"/>
      <c r="E371" s="102"/>
      <c r="F371" s="103"/>
    </row>
    <row r="372" ht="15.75" customHeight="1">
      <c r="B372" s="101"/>
      <c r="D372" s="98"/>
      <c r="E372" s="102"/>
      <c r="F372" s="103"/>
    </row>
    <row r="373" ht="15.75" customHeight="1">
      <c r="B373" s="101"/>
      <c r="D373" s="98"/>
      <c r="E373" s="102"/>
      <c r="F373" s="103"/>
    </row>
    <row r="374" ht="15.75" customHeight="1">
      <c r="B374" s="101"/>
      <c r="D374" s="98"/>
      <c r="E374" s="102"/>
      <c r="F374" s="103"/>
    </row>
    <row r="375" ht="15.75" customHeight="1">
      <c r="B375" s="101"/>
      <c r="D375" s="98"/>
      <c r="E375" s="102"/>
      <c r="F375" s="103"/>
    </row>
    <row r="376" ht="15.75" customHeight="1">
      <c r="B376" s="101"/>
      <c r="D376" s="98"/>
      <c r="E376" s="102"/>
      <c r="F376" s="103"/>
    </row>
    <row r="377" ht="15.75" customHeight="1">
      <c r="B377" s="101"/>
      <c r="D377" s="98"/>
      <c r="E377" s="102"/>
      <c r="F377" s="103"/>
    </row>
    <row r="378" ht="15.75" customHeight="1">
      <c r="B378" s="101"/>
      <c r="D378" s="98"/>
      <c r="E378" s="102"/>
      <c r="F378" s="103"/>
    </row>
    <row r="379" ht="15.75" customHeight="1">
      <c r="B379" s="101"/>
      <c r="D379" s="98"/>
      <c r="E379" s="102"/>
      <c r="F379" s="103"/>
    </row>
    <row r="380" ht="15.75" customHeight="1">
      <c r="B380" s="101"/>
      <c r="D380" s="98"/>
      <c r="E380" s="102"/>
      <c r="F380" s="103"/>
    </row>
    <row r="381" ht="15.75" customHeight="1">
      <c r="B381" s="101"/>
      <c r="D381" s="98"/>
      <c r="E381" s="102"/>
      <c r="F381" s="103"/>
    </row>
    <row r="382" ht="15.75" customHeight="1">
      <c r="B382" s="101"/>
      <c r="D382" s="98"/>
      <c r="E382" s="102"/>
      <c r="F382" s="103"/>
    </row>
    <row r="383" ht="15.75" customHeight="1">
      <c r="B383" s="101"/>
      <c r="D383" s="98"/>
      <c r="E383" s="102"/>
      <c r="F383" s="103"/>
    </row>
    <row r="384" ht="15.75" customHeight="1">
      <c r="B384" s="101"/>
      <c r="D384" s="98"/>
      <c r="E384" s="102"/>
      <c r="F384" s="103"/>
    </row>
    <row r="385" ht="15.75" customHeight="1">
      <c r="B385" s="101"/>
      <c r="D385" s="98"/>
      <c r="E385" s="102"/>
      <c r="F385" s="103"/>
    </row>
    <row r="386" ht="15.75" customHeight="1">
      <c r="B386" s="101"/>
      <c r="D386" s="98"/>
      <c r="E386" s="102"/>
      <c r="F386" s="103"/>
    </row>
    <row r="387" ht="15.75" customHeight="1">
      <c r="B387" s="101"/>
      <c r="D387" s="98"/>
      <c r="E387" s="102"/>
      <c r="F387" s="103"/>
    </row>
    <row r="388" ht="15.75" customHeight="1">
      <c r="B388" s="101"/>
      <c r="D388" s="98"/>
      <c r="E388" s="102"/>
      <c r="F388" s="103"/>
    </row>
    <row r="389" ht="15.75" customHeight="1">
      <c r="B389" s="101"/>
      <c r="D389" s="98"/>
      <c r="E389" s="102"/>
      <c r="F389" s="103"/>
    </row>
    <row r="390" ht="15.75" customHeight="1">
      <c r="B390" s="101"/>
      <c r="D390" s="98"/>
      <c r="E390" s="102"/>
      <c r="F390" s="103"/>
    </row>
    <row r="391" ht="15.75" customHeight="1">
      <c r="B391" s="101"/>
      <c r="D391" s="98"/>
      <c r="E391" s="102"/>
      <c r="F391" s="103"/>
    </row>
    <row r="392" ht="15.75" customHeight="1">
      <c r="B392" s="101"/>
      <c r="D392" s="98"/>
      <c r="E392" s="102"/>
      <c r="F392" s="103"/>
    </row>
    <row r="393" ht="15.75" customHeight="1">
      <c r="B393" s="101"/>
      <c r="D393" s="98"/>
      <c r="E393" s="102"/>
      <c r="F393" s="103"/>
    </row>
    <row r="394" ht="15.75" customHeight="1">
      <c r="B394" s="101"/>
      <c r="D394" s="98"/>
      <c r="E394" s="102"/>
      <c r="F394" s="103"/>
    </row>
    <row r="395" ht="15.75" customHeight="1">
      <c r="B395" s="101"/>
      <c r="D395" s="98"/>
      <c r="E395" s="102"/>
      <c r="F395" s="103"/>
    </row>
    <row r="396" ht="15.75" customHeight="1">
      <c r="B396" s="101"/>
      <c r="D396" s="98"/>
      <c r="E396" s="102"/>
      <c r="F396" s="103"/>
    </row>
    <row r="397" ht="15.75" customHeight="1">
      <c r="B397" s="101"/>
      <c r="D397" s="98"/>
      <c r="E397" s="102"/>
      <c r="F397" s="103"/>
    </row>
    <row r="398" ht="15.75" customHeight="1">
      <c r="B398" s="101"/>
      <c r="D398" s="98"/>
      <c r="E398" s="102"/>
      <c r="F398" s="103"/>
    </row>
    <row r="399" ht="15.75" customHeight="1">
      <c r="B399" s="101"/>
      <c r="D399" s="98"/>
      <c r="E399" s="102"/>
      <c r="F399" s="103"/>
    </row>
    <row r="400" ht="15.75" customHeight="1">
      <c r="B400" s="101"/>
      <c r="D400" s="98"/>
      <c r="E400" s="102"/>
      <c r="F400" s="103"/>
    </row>
    <row r="401" ht="15.75" customHeight="1">
      <c r="B401" s="101"/>
      <c r="D401" s="98"/>
      <c r="E401" s="102"/>
      <c r="F401" s="103"/>
    </row>
    <row r="402" ht="15.75" customHeight="1">
      <c r="B402" s="101"/>
      <c r="D402" s="98"/>
      <c r="E402" s="102"/>
      <c r="F402" s="103"/>
    </row>
    <row r="403" ht="15.75" customHeight="1">
      <c r="B403" s="101"/>
      <c r="D403" s="98"/>
      <c r="E403" s="102"/>
      <c r="F403" s="103"/>
    </row>
    <row r="404" ht="15.75" customHeight="1">
      <c r="B404" s="101"/>
      <c r="D404" s="98"/>
      <c r="E404" s="102"/>
      <c r="F404" s="103"/>
    </row>
    <row r="405" ht="15.75" customHeight="1">
      <c r="B405" s="101"/>
      <c r="D405" s="98"/>
      <c r="E405" s="102"/>
      <c r="F405" s="103"/>
    </row>
    <row r="406" ht="15.75" customHeight="1">
      <c r="B406" s="101"/>
      <c r="D406" s="98"/>
      <c r="E406" s="102"/>
      <c r="F406" s="103"/>
    </row>
    <row r="407" ht="15.75" customHeight="1">
      <c r="B407" s="101"/>
      <c r="D407" s="98"/>
      <c r="E407" s="102"/>
      <c r="F407" s="103"/>
    </row>
    <row r="408" ht="15.75" customHeight="1">
      <c r="B408" s="101"/>
      <c r="D408" s="98"/>
      <c r="E408" s="102"/>
      <c r="F408" s="103"/>
    </row>
    <row r="409" ht="15.75" customHeight="1">
      <c r="B409" s="101"/>
      <c r="D409" s="98"/>
      <c r="E409" s="102"/>
      <c r="F409" s="103"/>
    </row>
    <row r="410" ht="15.75" customHeight="1">
      <c r="B410" s="101"/>
      <c r="D410" s="98"/>
      <c r="E410" s="102"/>
      <c r="F410" s="103"/>
    </row>
    <row r="411" ht="15.75" customHeight="1">
      <c r="B411" s="101"/>
      <c r="D411" s="98"/>
      <c r="E411" s="102"/>
      <c r="F411" s="103"/>
    </row>
    <row r="412" ht="15.75" customHeight="1">
      <c r="B412" s="101"/>
      <c r="D412" s="98"/>
      <c r="E412" s="102"/>
      <c r="F412" s="103"/>
    </row>
    <row r="413" ht="15.75" customHeight="1">
      <c r="B413" s="101"/>
      <c r="D413" s="98"/>
      <c r="E413" s="102"/>
      <c r="F413" s="103"/>
    </row>
    <row r="414" ht="15.75" customHeight="1">
      <c r="B414" s="101"/>
      <c r="D414" s="98"/>
      <c r="E414" s="102"/>
      <c r="F414" s="103"/>
    </row>
    <row r="415" ht="15.75" customHeight="1">
      <c r="B415" s="101"/>
      <c r="D415" s="98"/>
      <c r="E415" s="102"/>
      <c r="F415" s="103"/>
    </row>
    <row r="416" ht="15.75" customHeight="1">
      <c r="B416" s="101"/>
      <c r="D416" s="98"/>
      <c r="E416" s="102"/>
      <c r="F416" s="103"/>
    </row>
    <row r="417" ht="15.75" customHeight="1">
      <c r="B417" s="101"/>
      <c r="D417" s="98"/>
      <c r="E417" s="102"/>
      <c r="F417" s="103"/>
    </row>
    <row r="418" ht="15.75" customHeight="1">
      <c r="B418" s="101"/>
      <c r="D418" s="98"/>
      <c r="E418" s="102"/>
      <c r="F418" s="103"/>
    </row>
    <row r="419" ht="15.75" customHeight="1">
      <c r="B419" s="101"/>
      <c r="D419" s="98"/>
      <c r="E419" s="102"/>
      <c r="F419" s="103"/>
    </row>
    <row r="420" ht="15.75" customHeight="1">
      <c r="B420" s="101"/>
      <c r="D420" s="98"/>
      <c r="E420" s="102"/>
      <c r="F420" s="103"/>
    </row>
    <row r="421" ht="15.75" customHeight="1">
      <c r="B421" s="101"/>
      <c r="D421" s="98"/>
      <c r="E421" s="102"/>
      <c r="F421" s="103"/>
    </row>
    <row r="422" ht="15.75" customHeight="1">
      <c r="B422" s="101"/>
      <c r="D422" s="98"/>
      <c r="E422" s="102"/>
      <c r="F422" s="103"/>
    </row>
    <row r="423" ht="15.75" customHeight="1">
      <c r="B423" s="101"/>
      <c r="D423" s="98"/>
      <c r="E423" s="102"/>
      <c r="F423" s="103"/>
    </row>
    <row r="424" ht="15.75" customHeight="1">
      <c r="B424" s="101"/>
      <c r="D424" s="98"/>
      <c r="E424" s="102"/>
      <c r="F424" s="103"/>
    </row>
    <row r="425" ht="15.75" customHeight="1">
      <c r="B425" s="101"/>
      <c r="D425" s="98"/>
      <c r="E425" s="102"/>
      <c r="F425" s="103"/>
    </row>
    <row r="426" ht="15.75" customHeight="1">
      <c r="B426" s="101"/>
      <c r="D426" s="98"/>
      <c r="E426" s="102"/>
      <c r="F426" s="103"/>
    </row>
    <row r="427" ht="15.75" customHeight="1">
      <c r="B427" s="101"/>
      <c r="D427" s="98"/>
      <c r="E427" s="102"/>
      <c r="F427" s="103"/>
    </row>
    <row r="428" ht="15.75" customHeight="1">
      <c r="B428" s="101"/>
      <c r="D428" s="98"/>
      <c r="E428" s="102"/>
      <c r="F428" s="103"/>
    </row>
    <row r="429" ht="15.75" customHeight="1">
      <c r="B429" s="101"/>
      <c r="D429" s="98"/>
      <c r="E429" s="102"/>
      <c r="F429" s="103"/>
    </row>
    <row r="430" ht="15.75" customHeight="1">
      <c r="B430" s="101"/>
      <c r="D430" s="98"/>
      <c r="E430" s="102"/>
      <c r="F430" s="103"/>
    </row>
    <row r="431" ht="15.75" customHeight="1">
      <c r="B431" s="101"/>
      <c r="D431" s="98"/>
      <c r="E431" s="102"/>
      <c r="F431" s="103"/>
    </row>
    <row r="432" ht="15.75" customHeight="1">
      <c r="B432" s="101"/>
      <c r="D432" s="98"/>
      <c r="E432" s="102"/>
      <c r="F432" s="103"/>
    </row>
    <row r="433" ht="15.75" customHeight="1">
      <c r="B433" s="101"/>
      <c r="D433" s="98"/>
      <c r="E433" s="102"/>
      <c r="F433" s="103"/>
    </row>
    <row r="434" ht="15.75" customHeight="1">
      <c r="B434" s="101"/>
      <c r="D434" s="98"/>
      <c r="E434" s="102"/>
      <c r="F434" s="103"/>
    </row>
    <row r="435" ht="15.75" customHeight="1">
      <c r="B435" s="101"/>
      <c r="D435" s="98"/>
      <c r="E435" s="102"/>
      <c r="F435" s="103"/>
    </row>
    <row r="436" ht="15.75" customHeight="1">
      <c r="B436" s="101"/>
      <c r="D436" s="98"/>
      <c r="E436" s="102"/>
      <c r="F436" s="103"/>
    </row>
    <row r="437" ht="15.75" customHeight="1">
      <c r="B437" s="101"/>
      <c r="D437" s="98"/>
      <c r="E437" s="102"/>
      <c r="F437" s="103"/>
    </row>
    <row r="438" ht="15.75" customHeight="1">
      <c r="B438" s="101"/>
      <c r="D438" s="98"/>
      <c r="E438" s="102"/>
      <c r="F438" s="103"/>
    </row>
    <row r="439" ht="15.75" customHeight="1">
      <c r="B439" s="101"/>
      <c r="D439" s="98"/>
      <c r="E439" s="102"/>
      <c r="F439" s="103"/>
    </row>
    <row r="440" ht="15.75" customHeight="1">
      <c r="B440" s="101"/>
      <c r="D440" s="98"/>
      <c r="E440" s="102"/>
      <c r="F440" s="103"/>
    </row>
    <row r="441" ht="15.75" customHeight="1">
      <c r="B441" s="101"/>
      <c r="D441" s="98"/>
      <c r="E441" s="102"/>
      <c r="F441" s="103"/>
    </row>
    <row r="442" ht="15.75" customHeight="1">
      <c r="B442" s="101"/>
      <c r="D442" s="98"/>
      <c r="E442" s="102"/>
      <c r="F442" s="103"/>
    </row>
    <row r="443" ht="15.75" customHeight="1">
      <c r="B443" s="101"/>
      <c r="D443" s="98"/>
      <c r="E443" s="102"/>
      <c r="F443" s="103"/>
    </row>
    <row r="444" ht="15.75" customHeight="1">
      <c r="B444" s="101"/>
      <c r="D444" s="98"/>
      <c r="E444" s="102"/>
      <c r="F444" s="103"/>
    </row>
    <row r="445" ht="15.75" customHeight="1">
      <c r="B445" s="101"/>
      <c r="D445" s="98"/>
      <c r="E445" s="102"/>
      <c r="F445" s="103"/>
    </row>
    <row r="446" ht="15.75" customHeight="1">
      <c r="B446" s="101"/>
      <c r="D446" s="98"/>
      <c r="E446" s="102"/>
      <c r="F446" s="103"/>
    </row>
    <row r="447" ht="15.75" customHeight="1">
      <c r="B447" s="101"/>
      <c r="D447" s="98"/>
      <c r="E447" s="102"/>
      <c r="F447" s="103"/>
    </row>
    <row r="448" ht="15.75" customHeight="1">
      <c r="B448" s="101"/>
      <c r="D448" s="98"/>
      <c r="E448" s="102"/>
      <c r="F448" s="103"/>
    </row>
    <row r="449" ht="15.75" customHeight="1">
      <c r="B449" s="101"/>
      <c r="D449" s="98"/>
      <c r="E449" s="102"/>
      <c r="F449" s="103"/>
    </row>
    <row r="450" ht="15.75" customHeight="1">
      <c r="B450" s="101"/>
      <c r="D450" s="98"/>
      <c r="E450" s="102"/>
      <c r="F450" s="103"/>
    </row>
    <row r="451" ht="15.75" customHeight="1">
      <c r="B451" s="101"/>
      <c r="D451" s="98"/>
      <c r="E451" s="102"/>
      <c r="F451" s="103"/>
    </row>
    <row r="452" ht="15.75" customHeight="1">
      <c r="B452" s="101"/>
      <c r="D452" s="98"/>
      <c r="E452" s="102"/>
      <c r="F452" s="103"/>
    </row>
    <row r="453" ht="15.75" customHeight="1">
      <c r="B453" s="101"/>
      <c r="D453" s="98"/>
      <c r="E453" s="102"/>
      <c r="F453" s="103"/>
    </row>
    <row r="454" ht="15.75" customHeight="1">
      <c r="B454" s="101"/>
      <c r="D454" s="98"/>
      <c r="E454" s="102"/>
      <c r="F454" s="103"/>
    </row>
    <row r="455" ht="15.75" customHeight="1">
      <c r="B455" s="101"/>
      <c r="D455" s="98"/>
      <c r="E455" s="102"/>
      <c r="F455" s="103"/>
    </row>
    <row r="456" ht="15.75" customHeight="1">
      <c r="B456" s="101"/>
      <c r="D456" s="98"/>
      <c r="E456" s="102"/>
      <c r="F456" s="103"/>
    </row>
    <row r="457" ht="15.75" customHeight="1">
      <c r="B457" s="101"/>
      <c r="D457" s="98"/>
      <c r="E457" s="102"/>
      <c r="F457" s="103"/>
    </row>
    <row r="458" ht="15.75" customHeight="1">
      <c r="B458" s="101"/>
      <c r="D458" s="98"/>
      <c r="E458" s="102"/>
      <c r="F458" s="103"/>
    </row>
    <row r="459" ht="15.75" customHeight="1">
      <c r="B459" s="101"/>
      <c r="D459" s="98"/>
      <c r="E459" s="102"/>
      <c r="F459" s="103"/>
    </row>
    <row r="460" ht="15.75" customHeight="1">
      <c r="B460" s="101"/>
      <c r="D460" s="98"/>
      <c r="E460" s="102"/>
      <c r="F460" s="103"/>
    </row>
    <row r="461" ht="15.75" customHeight="1">
      <c r="B461" s="101"/>
      <c r="D461" s="98"/>
      <c r="E461" s="102"/>
      <c r="F461" s="103"/>
    </row>
    <row r="462" ht="15.75" customHeight="1">
      <c r="B462" s="101"/>
      <c r="D462" s="98"/>
      <c r="E462" s="102"/>
      <c r="F462" s="103"/>
    </row>
    <row r="463" ht="15.75" customHeight="1">
      <c r="B463" s="101"/>
      <c r="D463" s="98"/>
      <c r="E463" s="102"/>
      <c r="F463" s="103"/>
    </row>
    <row r="464" ht="15.75" customHeight="1">
      <c r="B464" s="101"/>
      <c r="D464" s="98"/>
      <c r="E464" s="102"/>
      <c r="F464" s="103"/>
    </row>
    <row r="465" ht="15.75" customHeight="1">
      <c r="B465" s="101"/>
      <c r="D465" s="98"/>
      <c r="E465" s="102"/>
      <c r="F465" s="103"/>
    </row>
    <row r="466" ht="15.75" customHeight="1">
      <c r="B466" s="101"/>
      <c r="D466" s="98"/>
      <c r="E466" s="102"/>
      <c r="F466" s="103"/>
    </row>
    <row r="467" ht="15.75" customHeight="1">
      <c r="B467" s="101"/>
      <c r="D467" s="98"/>
      <c r="E467" s="102"/>
      <c r="F467" s="103"/>
    </row>
    <row r="468" ht="15.75" customHeight="1">
      <c r="B468" s="101"/>
      <c r="D468" s="98"/>
      <c r="E468" s="102"/>
      <c r="F468" s="103"/>
    </row>
    <row r="469" ht="15.75" customHeight="1">
      <c r="B469" s="101"/>
      <c r="D469" s="98"/>
      <c r="E469" s="102"/>
      <c r="F469" s="103"/>
    </row>
    <row r="470" ht="15.75" customHeight="1">
      <c r="B470" s="101"/>
      <c r="D470" s="98"/>
      <c r="E470" s="102"/>
      <c r="F470" s="103"/>
    </row>
    <row r="471" ht="15.75" customHeight="1">
      <c r="B471" s="101"/>
      <c r="D471" s="98"/>
      <c r="E471" s="102"/>
      <c r="F471" s="103"/>
    </row>
    <row r="472" ht="15.75" customHeight="1">
      <c r="B472" s="101"/>
      <c r="D472" s="98"/>
      <c r="E472" s="102"/>
      <c r="F472" s="103"/>
    </row>
    <row r="473" ht="15.75" customHeight="1">
      <c r="B473" s="101"/>
      <c r="D473" s="98"/>
      <c r="E473" s="102"/>
      <c r="F473" s="103"/>
    </row>
    <row r="474" ht="15.75" customHeight="1">
      <c r="B474" s="101"/>
      <c r="D474" s="98"/>
      <c r="E474" s="102"/>
      <c r="F474" s="103"/>
    </row>
    <row r="475" ht="15.75" customHeight="1">
      <c r="B475" s="101"/>
      <c r="D475" s="98"/>
      <c r="E475" s="102"/>
      <c r="F475" s="103"/>
    </row>
    <row r="476" ht="15.75" customHeight="1">
      <c r="B476" s="101"/>
      <c r="D476" s="98"/>
      <c r="E476" s="102"/>
      <c r="F476" s="103"/>
    </row>
    <row r="477" ht="15.75" customHeight="1">
      <c r="B477" s="101"/>
      <c r="D477" s="98"/>
      <c r="E477" s="102"/>
      <c r="F477" s="103"/>
    </row>
    <row r="478" ht="15.75" customHeight="1">
      <c r="B478" s="101"/>
      <c r="D478" s="98"/>
      <c r="E478" s="102"/>
      <c r="F478" s="103"/>
    </row>
    <row r="479" ht="15.75" customHeight="1">
      <c r="B479" s="101"/>
      <c r="D479" s="98"/>
      <c r="E479" s="102"/>
      <c r="F479" s="103"/>
    </row>
    <row r="480" ht="15.75" customHeight="1">
      <c r="B480" s="101"/>
      <c r="D480" s="98"/>
      <c r="E480" s="102"/>
      <c r="F480" s="103"/>
    </row>
    <row r="481" ht="15.75" customHeight="1">
      <c r="B481" s="101"/>
      <c r="D481" s="98"/>
      <c r="E481" s="102"/>
      <c r="F481" s="103"/>
    </row>
    <row r="482" ht="15.75" customHeight="1">
      <c r="B482" s="101"/>
      <c r="D482" s="98"/>
      <c r="E482" s="102"/>
      <c r="F482" s="103"/>
    </row>
    <row r="483" ht="15.75" customHeight="1">
      <c r="B483" s="101"/>
      <c r="D483" s="98"/>
      <c r="E483" s="102"/>
      <c r="F483" s="103"/>
    </row>
    <row r="484" ht="15.75" customHeight="1">
      <c r="B484" s="101"/>
      <c r="D484" s="98"/>
      <c r="E484" s="102"/>
      <c r="F484" s="103"/>
    </row>
    <row r="485" ht="15.75" customHeight="1">
      <c r="B485" s="101"/>
      <c r="D485" s="98"/>
      <c r="E485" s="102"/>
      <c r="F485" s="103"/>
    </row>
    <row r="486" ht="15.75" customHeight="1">
      <c r="B486" s="101"/>
      <c r="D486" s="98"/>
      <c r="E486" s="102"/>
      <c r="F486" s="103"/>
    </row>
    <row r="487" ht="15.75" customHeight="1">
      <c r="B487" s="101"/>
      <c r="D487" s="98"/>
      <c r="E487" s="102"/>
      <c r="F487" s="103"/>
    </row>
    <row r="488" ht="15.75" customHeight="1">
      <c r="B488" s="101"/>
      <c r="D488" s="98"/>
      <c r="E488" s="102"/>
      <c r="F488" s="103"/>
    </row>
    <row r="489" ht="15.75" customHeight="1">
      <c r="B489" s="101"/>
      <c r="D489" s="98"/>
      <c r="E489" s="102"/>
      <c r="F489" s="103"/>
    </row>
    <row r="490" ht="15.75" customHeight="1">
      <c r="B490" s="101"/>
      <c r="D490" s="98"/>
      <c r="E490" s="102"/>
      <c r="F490" s="103"/>
    </row>
    <row r="491" ht="15.75" customHeight="1">
      <c r="B491" s="101"/>
      <c r="D491" s="98"/>
      <c r="E491" s="102"/>
      <c r="F491" s="103"/>
    </row>
    <row r="492" ht="15.75" customHeight="1">
      <c r="B492" s="101"/>
      <c r="D492" s="98"/>
      <c r="E492" s="102"/>
      <c r="F492" s="103"/>
    </row>
    <row r="493" ht="15.75" customHeight="1">
      <c r="B493" s="101"/>
      <c r="D493" s="98"/>
      <c r="E493" s="102"/>
      <c r="F493" s="103"/>
    </row>
    <row r="494" ht="15.75" customHeight="1">
      <c r="B494" s="101"/>
      <c r="D494" s="98"/>
      <c r="E494" s="102"/>
      <c r="F494" s="103"/>
    </row>
    <row r="495" ht="15.75" customHeight="1">
      <c r="B495" s="101"/>
      <c r="D495" s="98"/>
      <c r="E495" s="102"/>
      <c r="F495" s="103"/>
    </row>
    <row r="496" ht="15.75" customHeight="1">
      <c r="B496" s="101"/>
      <c r="D496" s="98"/>
      <c r="E496" s="102"/>
      <c r="F496" s="103"/>
    </row>
    <row r="497" ht="15.75" customHeight="1">
      <c r="B497" s="101"/>
      <c r="D497" s="98"/>
      <c r="E497" s="102"/>
      <c r="F497" s="103"/>
    </row>
    <row r="498" ht="15.75" customHeight="1">
      <c r="B498" s="101"/>
      <c r="D498" s="98"/>
      <c r="E498" s="102"/>
      <c r="F498" s="103"/>
    </row>
    <row r="499" ht="15.75" customHeight="1">
      <c r="B499" s="101"/>
      <c r="D499" s="98"/>
      <c r="E499" s="102"/>
      <c r="F499" s="103"/>
    </row>
    <row r="500" ht="15.75" customHeight="1">
      <c r="B500" s="101"/>
      <c r="D500" s="98"/>
      <c r="E500" s="102"/>
      <c r="F500" s="103"/>
    </row>
    <row r="501" ht="15.75" customHeight="1">
      <c r="B501" s="101"/>
      <c r="D501" s="98"/>
      <c r="E501" s="102"/>
      <c r="F501" s="103"/>
    </row>
    <row r="502" ht="15.75" customHeight="1">
      <c r="B502" s="101"/>
      <c r="D502" s="98"/>
      <c r="E502" s="102"/>
      <c r="F502" s="103"/>
    </row>
    <row r="503" ht="15.75" customHeight="1">
      <c r="B503" s="101"/>
      <c r="D503" s="98"/>
      <c r="E503" s="102"/>
      <c r="F503" s="103"/>
    </row>
    <row r="504" ht="15.75" customHeight="1">
      <c r="B504" s="101"/>
      <c r="D504" s="98"/>
      <c r="E504" s="102"/>
      <c r="F504" s="103"/>
    </row>
    <row r="505" ht="15.75" customHeight="1">
      <c r="B505" s="101"/>
      <c r="D505" s="98"/>
      <c r="E505" s="102"/>
      <c r="F505" s="103"/>
    </row>
    <row r="506" ht="15.75" customHeight="1">
      <c r="B506" s="101"/>
      <c r="D506" s="98"/>
      <c r="E506" s="102"/>
      <c r="F506" s="103"/>
    </row>
    <row r="507" ht="15.75" customHeight="1">
      <c r="B507" s="101"/>
      <c r="D507" s="98"/>
      <c r="E507" s="102"/>
      <c r="F507" s="103"/>
    </row>
    <row r="508" ht="15.75" customHeight="1">
      <c r="B508" s="101"/>
      <c r="D508" s="98"/>
      <c r="E508" s="102"/>
      <c r="F508" s="103"/>
    </row>
    <row r="509" ht="15.75" customHeight="1">
      <c r="B509" s="101"/>
      <c r="D509" s="98"/>
      <c r="E509" s="102"/>
      <c r="F509" s="103"/>
    </row>
    <row r="510" ht="15.75" customHeight="1">
      <c r="B510" s="101"/>
      <c r="D510" s="98"/>
      <c r="E510" s="102"/>
      <c r="F510" s="103"/>
    </row>
    <row r="511" ht="15.75" customHeight="1">
      <c r="B511" s="101"/>
      <c r="D511" s="98"/>
      <c r="E511" s="102"/>
      <c r="F511" s="103"/>
    </row>
    <row r="512" ht="15.75" customHeight="1">
      <c r="B512" s="101"/>
      <c r="D512" s="98"/>
      <c r="E512" s="102"/>
      <c r="F512" s="103"/>
    </row>
    <row r="513" ht="15.75" customHeight="1">
      <c r="B513" s="101"/>
      <c r="D513" s="98"/>
      <c r="E513" s="102"/>
      <c r="F513" s="103"/>
    </row>
    <row r="514" ht="15.75" customHeight="1">
      <c r="B514" s="101"/>
      <c r="D514" s="98"/>
      <c r="E514" s="102"/>
      <c r="F514" s="103"/>
    </row>
    <row r="515" ht="15.75" customHeight="1">
      <c r="B515" s="101"/>
      <c r="D515" s="98"/>
      <c r="E515" s="102"/>
      <c r="F515" s="103"/>
    </row>
    <row r="516" ht="15.75" customHeight="1">
      <c r="B516" s="101"/>
      <c r="D516" s="98"/>
      <c r="E516" s="102"/>
      <c r="F516" s="103"/>
    </row>
    <row r="517" ht="15.75" customHeight="1">
      <c r="B517" s="101"/>
      <c r="D517" s="98"/>
      <c r="E517" s="102"/>
      <c r="F517" s="103"/>
    </row>
    <row r="518" ht="15.75" customHeight="1">
      <c r="B518" s="101"/>
      <c r="D518" s="98"/>
      <c r="E518" s="102"/>
      <c r="F518" s="103"/>
    </row>
    <row r="519" ht="15.75" customHeight="1">
      <c r="B519" s="101"/>
      <c r="D519" s="98"/>
      <c r="E519" s="102"/>
      <c r="F519" s="103"/>
    </row>
    <row r="520" ht="15.75" customHeight="1">
      <c r="B520" s="101"/>
      <c r="D520" s="98"/>
      <c r="E520" s="102"/>
      <c r="F520" s="103"/>
    </row>
    <row r="521" ht="15.75" customHeight="1">
      <c r="B521" s="101"/>
      <c r="D521" s="98"/>
      <c r="E521" s="102"/>
      <c r="F521" s="103"/>
    </row>
    <row r="522" ht="15.75" customHeight="1">
      <c r="B522" s="101"/>
      <c r="D522" s="98"/>
      <c r="E522" s="102"/>
      <c r="F522" s="103"/>
    </row>
    <row r="523" ht="15.75" customHeight="1">
      <c r="B523" s="101"/>
      <c r="D523" s="98"/>
      <c r="E523" s="102"/>
      <c r="F523" s="103"/>
    </row>
    <row r="524" ht="15.75" customHeight="1">
      <c r="B524" s="101"/>
      <c r="D524" s="98"/>
      <c r="E524" s="102"/>
      <c r="F524" s="103"/>
    </row>
    <row r="525" ht="15.75" customHeight="1">
      <c r="B525" s="101"/>
      <c r="D525" s="98"/>
      <c r="E525" s="102"/>
      <c r="F525" s="103"/>
    </row>
    <row r="526" ht="15.75" customHeight="1">
      <c r="B526" s="101"/>
      <c r="D526" s="98"/>
      <c r="E526" s="102"/>
      <c r="F526" s="103"/>
    </row>
    <row r="527" ht="15.75" customHeight="1">
      <c r="B527" s="101"/>
      <c r="D527" s="98"/>
      <c r="E527" s="102"/>
      <c r="F527" s="103"/>
    </row>
    <row r="528" ht="15.75" customHeight="1">
      <c r="B528" s="101"/>
      <c r="D528" s="98"/>
      <c r="E528" s="102"/>
      <c r="F528" s="103"/>
    </row>
    <row r="529" ht="15.75" customHeight="1">
      <c r="B529" s="101"/>
      <c r="D529" s="98"/>
      <c r="E529" s="102"/>
      <c r="F529" s="103"/>
    </row>
    <row r="530" ht="15.75" customHeight="1">
      <c r="B530" s="101"/>
      <c r="D530" s="98"/>
      <c r="E530" s="102"/>
      <c r="F530" s="103"/>
    </row>
    <row r="531" ht="15.75" customHeight="1">
      <c r="B531" s="101"/>
      <c r="D531" s="98"/>
      <c r="E531" s="102"/>
      <c r="F531" s="103"/>
    </row>
    <row r="532" ht="15.75" customHeight="1">
      <c r="B532" s="101"/>
      <c r="D532" s="98"/>
      <c r="E532" s="102"/>
      <c r="F532" s="103"/>
    </row>
    <row r="533" ht="15.75" customHeight="1">
      <c r="B533" s="101"/>
      <c r="D533" s="98"/>
      <c r="E533" s="102"/>
      <c r="F533" s="103"/>
    </row>
    <row r="534" ht="15.75" customHeight="1">
      <c r="B534" s="101"/>
      <c r="D534" s="98"/>
      <c r="E534" s="102"/>
      <c r="F534" s="103"/>
    </row>
    <row r="535" ht="15.75" customHeight="1">
      <c r="B535" s="101"/>
      <c r="D535" s="98"/>
      <c r="E535" s="102"/>
      <c r="F535" s="103"/>
    </row>
    <row r="536" ht="15.75" customHeight="1">
      <c r="B536" s="101"/>
      <c r="D536" s="98"/>
      <c r="E536" s="102"/>
      <c r="F536" s="103"/>
    </row>
    <row r="537" ht="15.75" customHeight="1">
      <c r="B537" s="101"/>
      <c r="D537" s="98"/>
      <c r="E537" s="102"/>
      <c r="F537" s="103"/>
    </row>
    <row r="538" ht="15.75" customHeight="1">
      <c r="B538" s="101"/>
      <c r="D538" s="98"/>
      <c r="E538" s="102"/>
      <c r="F538" s="103"/>
    </row>
    <row r="539" ht="15.75" customHeight="1">
      <c r="B539" s="101"/>
      <c r="D539" s="98"/>
      <c r="E539" s="102"/>
      <c r="F539" s="103"/>
    </row>
    <row r="540" ht="15.75" customHeight="1">
      <c r="B540" s="101"/>
      <c r="D540" s="98"/>
      <c r="E540" s="102"/>
      <c r="F540" s="103"/>
    </row>
    <row r="541" ht="15.75" customHeight="1">
      <c r="B541" s="101"/>
      <c r="D541" s="98"/>
      <c r="E541" s="102"/>
      <c r="F541" s="103"/>
    </row>
    <row r="542" ht="15.75" customHeight="1">
      <c r="B542" s="101"/>
      <c r="D542" s="98"/>
      <c r="E542" s="102"/>
      <c r="F542" s="103"/>
    </row>
    <row r="543" ht="15.75" customHeight="1">
      <c r="B543" s="101"/>
      <c r="D543" s="98"/>
      <c r="E543" s="102"/>
      <c r="F543" s="103"/>
    </row>
    <row r="544" ht="15.75" customHeight="1">
      <c r="B544" s="101"/>
      <c r="D544" s="98"/>
      <c r="E544" s="102"/>
      <c r="F544" s="103"/>
    </row>
    <row r="545" ht="15.75" customHeight="1">
      <c r="B545" s="101"/>
      <c r="D545" s="98"/>
      <c r="E545" s="102"/>
      <c r="F545" s="103"/>
    </row>
    <row r="546" ht="15.75" customHeight="1">
      <c r="B546" s="101"/>
      <c r="D546" s="98"/>
      <c r="E546" s="102"/>
      <c r="F546" s="103"/>
    </row>
    <row r="547" ht="15.75" customHeight="1">
      <c r="B547" s="101"/>
      <c r="D547" s="98"/>
      <c r="E547" s="102"/>
      <c r="F547" s="103"/>
    </row>
    <row r="548" ht="15.75" customHeight="1">
      <c r="B548" s="101"/>
      <c r="D548" s="98"/>
      <c r="E548" s="102"/>
      <c r="F548" s="103"/>
    </row>
    <row r="549" ht="15.75" customHeight="1">
      <c r="B549" s="101"/>
      <c r="D549" s="98"/>
      <c r="E549" s="102"/>
      <c r="F549" s="103"/>
    </row>
    <row r="550" ht="15.75" customHeight="1">
      <c r="B550" s="101"/>
      <c r="D550" s="98"/>
      <c r="E550" s="102"/>
      <c r="F550" s="103"/>
    </row>
    <row r="551" ht="15.75" customHeight="1">
      <c r="B551" s="101"/>
      <c r="D551" s="98"/>
      <c r="E551" s="102"/>
      <c r="F551" s="103"/>
    </row>
    <row r="552" ht="15.75" customHeight="1">
      <c r="B552" s="101"/>
      <c r="D552" s="98"/>
      <c r="E552" s="102"/>
      <c r="F552" s="103"/>
    </row>
    <row r="553" ht="15.75" customHeight="1">
      <c r="B553" s="101"/>
      <c r="D553" s="98"/>
      <c r="E553" s="102"/>
      <c r="F553" s="103"/>
    </row>
    <row r="554" ht="15.75" customHeight="1">
      <c r="B554" s="101"/>
      <c r="D554" s="98"/>
      <c r="E554" s="102"/>
      <c r="F554" s="103"/>
    </row>
    <row r="555" ht="15.75" customHeight="1">
      <c r="B555" s="101"/>
      <c r="D555" s="98"/>
      <c r="E555" s="102"/>
      <c r="F555" s="103"/>
    </row>
    <row r="556" ht="15.75" customHeight="1">
      <c r="B556" s="101"/>
      <c r="D556" s="98"/>
      <c r="E556" s="102"/>
      <c r="F556" s="103"/>
    </row>
    <row r="557" ht="15.75" customHeight="1">
      <c r="B557" s="101"/>
      <c r="D557" s="98"/>
      <c r="E557" s="102"/>
      <c r="F557" s="103"/>
    </row>
    <row r="558" ht="15.75" customHeight="1">
      <c r="B558" s="101"/>
      <c r="D558" s="98"/>
      <c r="E558" s="102"/>
      <c r="F558" s="103"/>
    </row>
    <row r="559" ht="15.75" customHeight="1">
      <c r="B559" s="101"/>
      <c r="D559" s="98"/>
      <c r="E559" s="102"/>
      <c r="F559" s="103"/>
    </row>
    <row r="560" ht="15.75" customHeight="1">
      <c r="B560" s="101"/>
      <c r="D560" s="98"/>
      <c r="E560" s="102"/>
      <c r="F560" s="103"/>
    </row>
    <row r="561" ht="15.75" customHeight="1">
      <c r="B561" s="101"/>
      <c r="D561" s="98"/>
      <c r="E561" s="102"/>
      <c r="F561" s="103"/>
    </row>
    <row r="562" ht="15.75" customHeight="1">
      <c r="B562" s="101"/>
      <c r="D562" s="98"/>
      <c r="E562" s="102"/>
      <c r="F562" s="103"/>
    </row>
    <row r="563" ht="15.75" customHeight="1">
      <c r="B563" s="101"/>
      <c r="D563" s="98"/>
      <c r="E563" s="102"/>
      <c r="F563" s="103"/>
    </row>
    <row r="564" ht="15.75" customHeight="1">
      <c r="B564" s="101"/>
      <c r="D564" s="98"/>
      <c r="E564" s="102"/>
      <c r="F564" s="103"/>
    </row>
    <row r="565" ht="15.75" customHeight="1">
      <c r="B565" s="101"/>
      <c r="D565" s="98"/>
      <c r="E565" s="102"/>
      <c r="F565" s="103"/>
    </row>
    <row r="566" ht="15.75" customHeight="1">
      <c r="B566" s="101"/>
      <c r="D566" s="98"/>
      <c r="E566" s="102"/>
      <c r="F566" s="103"/>
    </row>
    <row r="567" ht="15.75" customHeight="1">
      <c r="B567" s="101"/>
      <c r="D567" s="98"/>
      <c r="E567" s="102"/>
      <c r="F567" s="103"/>
    </row>
    <row r="568" ht="15.75" customHeight="1">
      <c r="B568" s="101"/>
      <c r="D568" s="98"/>
      <c r="E568" s="102"/>
      <c r="F568" s="103"/>
    </row>
    <row r="569" ht="15.75" customHeight="1">
      <c r="B569" s="101"/>
      <c r="D569" s="98"/>
      <c r="E569" s="102"/>
      <c r="F569" s="103"/>
    </row>
    <row r="570" ht="15.75" customHeight="1">
      <c r="B570" s="101"/>
      <c r="D570" s="98"/>
      <c r="E570" s="102"/>
      <c r="F570" s="103"/>
    </row>
    <row r="571" ht="15.75" customHeight="1">
      <c r="B571" s="101"/>
      <c r="D571" s="98"/>
      <c r="E571" s="102"/>
      <c r="F571" s="103"/>
    </row>
    <row r="572" ht="15.75" customHeight="1">
      <c r="B572" s="101"/>
      <c r="D572" s="98"/>
      <c r="E572" s="102"/>
      <c r="F572" s="103"/>
    </row>
    <row r="573" ht="15.75" customHeight="1">
      <c r="B573" s="101"/>
      <c r="D573" s="98"/>
      <c r="E573" s="102"/>
      <c r="F573" s="103"/>
    </row>
    <row r="574" ht="15.75" customHeight="1">
      <c r="B574" s="101"/>
      <c r="D574" s="98"/>
      <c r="E574" s="102"/>
      <c r="F574" s="103"/>
    </row>
    <row r="575" ht="15.75" customHeight="1">
      <c r="B575" s="101"/>
      <c r="D575" s="98"/>
      <c r="E575" s="102"/>
      <c r="F575" s="103"/>
    </row>
    <row r="576" ht="15.75" customHeight="1">
      <c r="B576" s="101"/>
      <c r="D576" s="98"/>
      <c r="E576" s="102"/>
      <c r="F576" s="103"/>
    </row>
    <row r="577" ht="15.75" customHeight="1">
      <c r="B577" s="101"/>
      <c r="D577" s="98"/>
      <c r="E577" s="102"/>
      <c r="F577" s="103"/>
    </row>
    <row r="578" ht="15.75" customHeight="1">
      <c r="B578" s="101"/>
      <c r="D578" s="98"/>
      <c r="E578" s="102"/>
      <c r="F578" s="103"/>
    </row>
    <row r="579" ht="15.75" customHeight="1">
      <c r="B579" s="101"/>
      <c r="D579" s="98"/>
      <c r="E579" s="102"/>
      <c r="F579" s="103"/>
    </row>
    <row r="580" ht="15.75" customHeight="1">
      <c r="B580" s="101"/>
      <c r="D580" s="98"/>
      <c r="E580" s="102"/>
      <c r="F580" s="103"/>
    </row>
    <row r="581" ht="15.75" customHeight="1">
      <c r="B581" s="101"/>
      <c r="D581" s="98"/>
      <c r="E581" s="102"/>
      <c r="F581" s="103"/>
    </row>
    <row r="582" ht="15.75" customHeight="1">
      <c r="B582" s="101"/>
      <c r="D582" s="98"/>
      <c r="E582" s="102"/>
      <c r="F582" s="103"/>
    </row>
    <row r="583" ht="15.75" customHeight="1">
      <c r="B583" s="101"/>
      <c r="D583" s="98"/>
      <c r="E583" s="102"/>
      <c r="F583" s="103"/>
    </row>
    <row r="584" ht="15.75" customHeight="1">
      <c r="B584" s="101"/>
      <c r="D584" s="98"/>
      <c r="E584" s="102"/>
      <c r="F584" s="103"/>
    </row>
    <row r="585" ht="15.75" customHeight="1">
      <c r="B585" s="101"/>
      <c r="D585" s="98"/>
      <c r="E585" s="102"/>
      <c r="F585" s="103"/>
    </row>
    <row r="586" ht="15.75" customHeight="1">
      <c r="B586" s="101"/>
      <c r="D586" s="98"/>
      <c r="E586" s="102"/>
      <c r="F586" s="103"/>
    </row>
    <row r="587" ht="15.75" customHeight="1">
      <c r="B587" s="101"/>
      <c r="D587" s="98"/>
      <c r="E587" s="102"/>
      <c r="F587" s="103"/>
    </row>
    <row r="588" ht="15.75" customHeight="1">
      <c r="B588" s="101"/>
      <c r="D588" s="98"/>
      <c r="E588" s="102"/>
      <c r="F588" s="103"/>
    </row>
    <row r="589" ht="15.75" customHeight="1">
      <c r="B589" s="101"/>
      <c r="D589" s="98"/>
      <c r="E589" s="102"/>
      <c r="F589" s="103"/>
    </row>
    <row r="590" ht="15.75" customHeight="1">
      <c r="B590" s="101"/>
      <c r="D590" s="98"/>
      <c r="E590" s="102"/>
      <c r="F590" s="103"/>
    </row>
    <row r="591" ht="15.75" customHeight="1">
      <c r="B591" s="101"/>
      <c r="D591" s="98"/>
      <c r="E591" s="102"/>
      <c r="F591" s="103"/>
    </row>
    <row r="592" ht="15.75" customHeight="1">
      <c r="B592" s="101"/>
      <c r="D592" s="98"/>
      <c r="E592" s="102"/>
      <c r="F592" s="103"/>
    </row>
    <row r="593" ht="15.75" customHeight="1">
      <c r="B593" s="101"/>
      <c r="D593" s="98"/>
      <c r="E593" s="102"/>
      <c r="F593" s="103"/>
    </row>
    <row r="594" ht="15.75" customHeight="1">
      <c r="B594" s="101"/>
      <c r="D594" s="98"/>
      <c r="E594" s="102"/>
      <c r="F594" s="103"/>
    </row>
    <row r="595" ht="15.75" customHeight="1">
      <c r="B595" s="101"/>
      <c r="D595" s="98"/>
      <c r="E595" s="102"/>
      <c r="F595" s="103"/>
    </row>
    <row r="596" ht="15.75" customHeight="1">
      <c r="B596" s="101"/>
      <c r="D596" s="98"/>
      <c r="E596" s="102"/>
      <c r="F596" s="103"/>
    </row>
    <row r="597" ht="15.75" customHeight="1">
      <c r="B597" s="101"/>
      <c r="D597" s="98"/>
      <c r="E597" s="102"/>
      <c r="F597" s="103"/>
    </row>
    <row r="598" ht="15.75" customHeight="1">
      <c r="B598" s="101"/>
      <c r="D598" s="98"/>
      <c r="E598" s="102"/>
      <c r="F598" s="103"/>
    </row>
    <row r="599" ht="15.75" customHeight="1">
      <c r="B599" s="101"/>
      <c r="D599" s="98"/>
      <c r="E599" s="102"/>
      <c r="F599" s="103"/>
    </row>
    <row r="600" ht="15.75" customHeight="1">
      <c r="B600" s="101"/>
      <c r="D600" s="98"/>
      <c r="E600" s="102"/>
      <c r="F600" s="103"/>
    </row>
    <row r="601" ht="15.75" customHeight="1">
      <c r="B601" s="101"/>
      <c r="D601" s="98"/>
      <c r="E601" s="102"/>
      <c r="F601" s="103"/>
    </row>
    <row r="602" ht="15.75" customHeight="1">
      <c r="B602" s="101"/>
      <c r="D602" s="98"/>
      <c r="E602" s="102"/>
      <c r="F602" s="103"/>
    </row>
    <row r="603" ht="15.75" customHeight="1">
      <c r="B603" s="101"/>
      <c r="D603" s="98"/>
      <c r="E603" s="102"/>
      <c r="F603" s="103"/>
    </row>
    <row r="604" ht="15.75" customHeight="1">
      <c r="B604" s="101"/>
      <c r="D604" s="98"/>
      <c r="E604" s="102"/>
      <c r="F604" s="103"/>
    </row>
    <row r="605" ht="15.75" customHeight="1">
      <c r="B605" s="101"/>
      <c r="D605" s="98"/>
      <c r="E605" s="102"/>
      <c r="F605" s="103"/>
    </row>
    <row r="606" ht="15.75" customHeight="1">
      <c r="B606" s="101"/>
      <c r="D606" s="98"/>
      <c r="E606" s="102"/>
      <c r="F606" s="103"/>
    </row>
    <row r="607" ht="15.75" customHeight="1">
      <c r="B607" s="101"/>
      <c r="D607" s="98"/>
      <c r="E607" s="102"/>
      <c r="F607" s="103"/>
    </row>
    <row r="608" ht="15.75" customHeight="1">
      <c r="B608" s="101"/>
      <c r="D608" s="98"/>
      <c r="E608" s="102"/>
      <c r="F608" s="103"/>
    </row>
    <row r="609" ht="15.75" customHeight="1">
      <c r="B609" s="101"/>
      <c r="D609" s="98"/>
      <c r="E609" s="102"/>
      <c r="F609" s="103"/>
    </row>
    <row r="610" ht="15.75" customHeight="1">
      <c r="B610" s="101"/>
      <c r="D610" s="98"/>
      <c r="E610" s="102"/>
      <c r="F610" s="103"/>
    </row>
    <row r="611" ht="15.75" customHeight="1">
      <c r="B611" s="101"/>
      <c r="D611" s="98"/>
      <c r="E611" s="102"/>
      <c r="F611" s="103"/>
    </row>
    <row r="612" ht="15.75" customHeight="1">
      <c r="B612" s="101"/>
      <c r="D612" s="98"/>
      <c r="E612" s="102"/>
      <c r="F612" s="103"/>
    </row>
    <row r="613" ht="15.75" customHeight="1">
      <c r="B613" s="101"/>
      <c r="D613" s="98"/>
      <c r="E613" s="102"/>
      <c r="F613" s="103"/>
    </row>
    <row r="614" ht="15.75" customHeight="1">
      <c r="B614" s="101"/>
      <c r="D614" s="98"/>
      <c r="E614" s="102"/>
      <c r="F614" s="103"/>
    </row>
    <row r="615" ht="15.75" customHeight="1">
      <c r="B615" s="101"/>
      <c r="D615" s="98"/>
      <c r="E615" s="102"/>
      <c r="F615" s="103"/>
    </row>
    <row r="616" ht="15.75" customHeight="1">
      <c r="B616" s="101"/>
      <c r="D616" s="98"/>
      <c r="E616" s="102"/>
      <c r="F616" s="103"/>
    </row>
    <row r="617" ht="15.75" customHeight="1">
      <c r="B617" s="101"/>
      <c r="D617" s="98"/>
      <c r="E617" s="102"/>
      <c r="F617" s="103"/>
    </row>
    <row r="618" ht="15.75" customHeight="1">
      <c r="B618" s="101"/>
      <c r="D618" s="98"/>
      <c r="E618" s="102"/>
      <c r="F618" s="103"/>
    </row>
    <row r="619" ht="15.75" customHeight="1">
      <c r="B619" s="101"/>
      <c r="D619" s="98"/>
      <c r="E619" s="102"/>
      <c r="F619" s="103"/>
    </row>
    <row r="620" ht="15.75" customHeight="1">
      <c r="B620" s="101"/>
      <c r="D620" s="98"/>
      <c r="E620" s="102"/>
      <c r="F620" s="103"/>
    </row>
    <row r="621" ht="15.75" customHeight="1">
      <c r="B621" s="101"/>
      <c r="D621" s="98"/>
      <c r="E621" s="102"/>
      <c r="F621" s="103"/>
    </row>
    <row r="622" ht="15.75" customHeight="1">
      <c r="B622" s="101"/>
      <c r="D622" s="98"/>
      <c r="E622" s="102"/>
      <c r="F622" s="103"/>
    </row>
    <row r="623" ht="15.75" customHeight="1">
      <c r="B623" s="101"/>
      <c r="D623" s="98"/>
      <c r="E623" s="102"/>
      <c r="F623" s="103"/>
    </row>
    <row r="624" ht="15.75" customHeight="1">
      <c r="B624" s="101"/>
      <c r="D624" s="98"/>
      <c r="E624" s="102"/>
      <c r="F624" s="103"/>
    </row>
    <row r="625" ht="15.75" customHeight="1">
      <c r="B625" s="101"/>
      <c r="D625" s="98"/>
      <c r="E625" s="102"/>
      <c r="F625" s="103"/>
    </row>
    <row r="626" ht="15.75" customHeight="1">
      <c r="B626" s="101"/>
      <c r="D626" s="98"/>
      <c r="E626" s="102"/>
      <c r="F626" s="103"/>
    </row>
    <row r="627" ht="15.75" customHeight="1">
      <c r="B627" s="101"/>
      <c r="D627" s="98"/>
      <c r="E627" s="102"/>
      <c r="F627" s="103"/>
    </row>
    <row r="628" ht="15.75" customHeight="1">
      <c r="B628" s="101"/>
      <c r="D628" s="98"/>
      <c r="E628" s="102"/>
      <c r="F628" s="103"/>
    </row>
    <row r="629" ht="15.75" customHeight="1">
      <c r="B629" s="101"/>
      <c r="D629" s="98"/>
      <c r="E629" s="102"/>
      <c r="F629" s="103"/>
    </row>
    <row r="630" ht="15.75" customHeight="1">
      <c r="B630" s="101"/>
      <c r="D630" s="98"/>
      <c r="E630" s="102"/>
      <c r="F630" s="103"/>
    </row>
    <row r="631" ht="15.75" customHeight="1">
      <c r="B631" s="101"/>
      <c r="D631" s="98"/>
      <c r="E631" s="102"/>
      <c r="F631" s="103"/>
    </row>
    <row r="632" ht="15.75" customHeight="1">
      <c r="B632" s="101"/>
      <c r="D632" s="98"/>
      <c r="E632" s="102"/>
      <c r="F632" s="103"/>
    </row>
    <row r="633" ht="15.75" customHeight="1">
      <c r="B633" s="101"/>
      <c r="D633" s="98"/>
      <c r="E633" s="102"/>
      <c r="F633" s="103"/>
    </row>
    <row r="634" ht="15.75" customHeight="1">
      <c r="B634" s="101"/>
      <c r="D634" s="98"/>
      <c r="E634" s="102"/>
      <c r="F634" s="103"/>
    </row>
    <row r="635" ht="15.75" customHeight="1">
      <c r="B635" s="101"/>
      <c r="D635" s="98"/>
      <c r="E635" s="102"/>
      <c r="F635" s="103"/>
    </row>
    <row r="636" ht="15.75" customHeight="1">
      <c r="B636" s="101"/>
      <c r="D636" s="98"/>
      <c r="E636" s="102"/>
      <c r="F636" s="103"/>
    </row>
    <row r="637" ht="15.75" customHeight="1">
      <c r="B637" s="101"/>
      <c r="D637" s="98"/>
      <c r="E637" s="102"/>
      <c r="F637" s="103"/>
    </row>
    <row r="638" ht="15.75" customHeight="1">
      <c r="B638" s="101"/>
      <c r="D638" s="98"/>
      <c r="E638" s="102"/>
      <c r="F638" s="103"/>
    </row>
    <row r="639" ht="15.75" customHeight="1">
      <c r="B639" s="101"/>
      <c r="D639" s="98"/>
      <c r="E639" s="102"/>
      <c r="F639" s="103"/>
    </row>
    <row r="640" ht="15.75" customHeight="1">
      <c r="B640" s="101"/>
      <c r="D640" s="98"/>
      <c r="E640" s="102"/>
      <c r="F640" s="103"/>
    </row>
    <row r="641" ht="15.75" customHeight="1">
      <c r="B641" s="101"/>
      <c r="D641" s="98"/>
      <c r="E641" s="102"/>
      <c r="F641" s="103"/>
    </row>
    <row r="642" ht="15.75" customHeight="1">
      <c r="B642" s="101"/>
      <c r="D642" s="98"/>
      <c r="E642" s="102"/>
      <c r="F642" s="103"/>
    </row>
    <row r="643" ht="15.75" customHeight="1">
      <c r="B643" s="101"/>
      <c r="D643" s="98"/>
      <c r="E643" s="102"/>
      <c r="F643" s="103"/>
    </row>
    <row r="644" ht="15.75" customHeight="1">
      <c r="B644" s="101"/>
      <c r="D644" s="98"/>
      <c r="E644" s="102"/>
      <c r="F644" s="103"/>
    </row>
    <row r="645" ht="15.75" customHeight="1">
      <c r="B645" s="101"/>
      <c r="D645" s="98"/>
      <c r="E645" s="102"/>
      <c r="F645" s="103"/>
    </row>
    <row r="646" ht="15.75" customHeight="1">
      <c r="B646" s="101"/>
      <c r="D646" s="98"/>
      <c r="E646" s="102"/>
      <c r="F646" s="103"/>
    </row>
    <row r="647" ht="15.75" customHeight="1">
      <c r="B647" s="101"/>
      <c r="D647" s="98"/>
      <c r="E647" s="102"/>
      <c r="F647" s="103"/>
    </row>
    <row r="648" ht="15.75" customHeight="1">
      <c r="B648" s="101"/>
      <c r="D648" s="98"/>
      <c r="E648" s="102"/>
      <c r="F648" s="103"/>
    </row>
    <row r="649" ht="15.75" customHeight="1">
      <c r="B649" s="101"/>
      <c r="D649" s="98"/>
      <c r="E649" s="102"/>
      <c r="F649" s="103"/>
    </row>
    <row r="650" ht="15.75" customHeight="1">
      <c r="B650" s="101"/>
      <c r="D650" s="98"/>
      <c r="E650" s="102"/>
      <c r="F650" s="103"/>
    </row>
    <row r="651" ht="15.75" customHeight="1">
      <c r="B651" s="101"/>
      <c r="D651" s="98"/>
      <c r="E651" s="102"/>
      <c r="F651" s="103"/>
    </row>
    <row r="652" ht="15.75" customHeight="1">
      <c r="B652" s="101"/>
      <c r="D652" s="98"/>
      <c r="E652" s="102"/>
      <c r="F652" s="103"/>
    </row>
    <row r="653" ht="15.75" customHeight="1">
      <c r="B653" s="101"/>
      <c r="D653" s="98"/>
      <c r="E653" s="102"/>
      <c r="F653" s="103"/>
    </row>
    <row r="654" ht="15.75" customHeight="1">
      <c r="B654" s="101"/>
      <c r="D654" s="98"/>
      <c r="E654" s="102"/>
      <c r="F654" s="103"/>
    </row>
    <row r="655" ht="15.75" customHeight="1">
      <c r="B655" s="101"/>
      <c r="D655" s="98"/>
      <c r="E655" s="102"/>
      <c r="F655" s="103"/>
    </row>
    <row r="656" ht="15.75" customHeight="1">
      <c r="B656" s="101"/>
      <c r="D656" s="98"/>
      <c r="E656" s="102"/>
      <c r="F656" s="103"/>
    </row>
    <row r="657" ht="15.75" customHeight="1">
      <c r="B657" s="101"/>
      <c r="D657" s="98"/>
      <c r="E657" s="102"/>
      <c r="F657" s="103"/>
    </row>
    <row r="658" ht="15.75" customHeight="1">
      <c r="B658" s="101"/>
      <c r="D658" s="98"/>
      <c r="E658" s="102"/>
      <c r="F658" s="103"/>
    </row>
    <row r="659" ht="15.75" customHeight="1">
      <c r="B659" s="101"/>
      <c r="D659" s="98"/>
      <c r="E659" s="102"/>
      <c r="F659" s="103"/>
    </row>
    <row r="660" ht="15.75" customHeight="1">
      <c r="B660" s="101"/>
      <c r="D660" s="98"/>
      <c r="E660" s="102"/>
      <c r="F660" s="103"/>
    </row>
    <row r="661" ht="15.75" customHeight="1">
      <c r="B661" s="101"/>
      <c r="D661" s="98"/>
      <c r="E661" s="102"/>
      <c r="F661" s="103"/>
    </row>
    <row r="662" ht="15.75" customHeight="1">
      <c r="B662" s="101"/>
      <c r="D662" s="98"/>
      <c r="E662" s="102"/>
      <c r="F662" s="103"/>
    </row>
    <row r="663" ht="15.75" customHeight="1">
      <c r="B663" s="101"/>
      <c r="D663" s="98"/>
      <c r="E663" s="102"/>
      <c r="F663" s="103"/>
    </row>
    <row r="664" ht="15.75" customHeight="1">
      <c r="B664" s="101"/>
      <c r="D664" s="98"/>
      <c r="E664" s="102"/>
      <c r="F664" s="103"/>
    </row>
    <row r="665" ht="15.75" customHeight="1">
      <c r="B665" s="101"/>
      <c r="D665" s="98"/>
      <c r="E665" s="102"/>
      <c r="F665" s="103"/>
    </row>
    <row r="666" ht="15.75" customHeight="1">
      <c r="B666" s="101"/>
      <c r="D666" s="98"/>
      <c r="E666" s="102"/>
      <c r="F666" s="103"/>
    </row>
    <row r="667" ht="15.75" customHeight="1">
      <c r="B667" s="101"/>
      <c r="D667" s="98"/>
      <c r="E667" s="102"/>
      <c r="F667" s="103"/>
    </row>
    <row r="668" ht="15.75" customHeight="1">
      <c r="B668" s="101"/>
      <c r="D668" s="98"/>
      <c r="E668" s="102"/>
      <c r="F668" s="103"/>
    </row>
    <row r="669" ht="15.75" customHeight="1">
      <c r="B669" s="101"/>
      <c r="D669" s="98"/>
      <c r="E669" s="102"/>
      <c r="F669" s="103"/>
    </row>
    <row r="670" ht="15.75" customHeight="1">
      <c r="B670" s="101"/>
      <c r="D670" s="98"/>
      <c r="E670" s="102"/>
      <c r="F670" s="103"/>
    </row>
    <row r="671" ht="15.75" customHeight="1">
      <c r="B671" s="101"/>
      <c r="D671" s="98"/>
      <c r="E671" s="102"/>
      <c r="F671" s="103"/>
    </row>
    <row r="672" ht="15.75" customHeight="1">
      <c r="B672" s="101"/>
      <c r="D672" s="98"/>
      <c r="E672" s="102"/>
      <c r="F672" s="103"/>
    </row>
    <row r="673" ht="15.75" customHeight="1">
      <c r="B673" s="101"/>
      <c r="D673" s="98"/>
      <c r="E673" s="102"/>
      <c r="F673" s="103"/>
    </row>
    <row r="674" ht="15.75" customHeight="1">
      <c r="B674" s="101"/>
      <c r="D674" s="98"/>
      <c r="E674" s="102"/>
      <c r="F674" s="103"/>
    </row>
    <row r="675" ht="15.75" customHeight="1">
      <c r="B675" s="101"/>
      <c r="D675" s="98"/>
      <c r="E675" s="102"/>
      <c r="F675" s="103"/>
    </row>
    <row r="676" ht="15.75" customHeight="1">
      <c r="B676" s="101"/>
      <c r="D676" s="98"/>
      <c r="E676" s="102"/>
      <c r="F676" s="103"/>
    </row>
    <row r="677" ht="15.75" customHeight="1">
      <c r="B677" s="101"/>
      <c r="D677" s="98"/>
      <c r="E677" s="102"/>
      <c r="F677" s="103"/>
    </row>
    <row r="678" ht="15.75" customHeight="1">
      <c r="B678" s="101"/>
      <c r="D678" s="98"/>
      <c r="E678" s="102"/>
      <c r="F678" s="103"/>
    </row>
    <row r="679" ht="15.75" customHeight="1">
      <c r="B679" s="101"/>
      <c r="D679" s="98"/>
      <c r="E679" s="102"/>
      <c r="F679" s="103"/>
    </row>
    <row r="680" ht="15.75" customHeight="1">
      <c r="B680" s="101"/>
      <c r="D680" s="98"/>
      <c r="E680" s="102"/>
      <c r="F680" s="103"/>
    </row>
    <row r="681" ht="15.75" customHeight="1">
      <c r="B681" s="101"/>
      <c r="D681" s="98"/>
      <c r="E681" s="102"/>
      <c r="F681" s="103"/>
    </row>
    <row r="682" ht="15.75" customHeight="1">
      <c r="B682" s="101"/>
      <c r="D682" s="98"/>
      <c r="E682" s="102"/>
      <c r="F682" s="103"/>
    </row>
    <row r="683" ht="15.75" customHeight="1">
      <c r="B683" s="101"/>
      <c r="D683" s="98"/>
      <c r="E683" s="102"/>
      <c r="F683" s="103"/>
    </row>
    <row r="684" ht="15.75" customHeight="1">
      <c r="B684" s="101"/>
      <c r="D684" s="98"/>
      <c r="E684" s="102"/>
      <c r="F684" s="103"/>
    </row>
    <row r="685" ht="15.75" customHeight="1">
      <c r="B685" s="101"/>
      <c r="D685" s="98"/>
      <c r="E685" s="102"/>
      <c r="F685" s="103"/>
    </row>
    <row r="686" ht="15.75" customHeight="1">
      <c r="B686" s="101"/>
      <c r="D686" s="98"/>
      <c r="E686" s="102"/>
      <c r="F686" s="103"/>
    </row>
    <row r="687" ht="15.75" customHeight="1">
      <c r="B687" s="101"/>
      <c r="D687" s="98"/>
      <c r="E687" s="102"/>
      <c r="F687" s="103"/>
    </row>
    <row r="688" ht="15.75" customHeight="1">
      <c r="B688" s="101"/>
      <c r="D688" s="98"/>
      <c r="E688" s="102"/>
      <c r="F688" s="103"/>
    </row>
    <row r="689" ht="15.75" customHeight="1">
      <c r="B689" s="101"/>
      <c r="D689" s="98"/>
      <c r="E689" s="102"/>
      <c r="F689" s="103"/>
    </row>
    <row r="690" ht="15.75" customHeight="1">
      <c r="B690" s="101"/>
      <c r="D690" s="98"/>
      <c r="E690" s="102"/>
      <c r="F690" s="103"/>
    </row>
    <row r="691" ht="15.75" customHeight="1">
      <c r="B691" s="101"/>
      <c r="D691" s="98"/>
      <c r="E691" s="102"/>
      <c r="F691" s="103"/>
    </row>
    <row r="692" ht="15.75" customHeight="1">
      <c r="B692" s="101"/>
      <c r="D692" s="98"/>
      <c r="E692" s="102"/>
      <c r="F692" s="103"/>
    </row>
    <row r="693" ht="15.75" customHeight="1">
      <c r="B693" s="101"/>
      <c r="D693" s="98"/>
      <c r="E693" s="102"/>
      <c r="F693" s="103"/>
    </row>
    <row r="694" ht="15.75" customHeight="1">
      <c r="B694" s="101"/>
      <c r="D694" s="98"/>
      <c r="E694" s="102"/>
      <c r="F694" s="103"/>
    </row>
    <row r="695" ht="15.75" customHeight="1">
      <c r="B695" s="101"/>
      <c r="D695" s="98"/>
      <c r="E695" s="102"/>
      <c r="F695" s="103"/>
    </row>
    <row r="696" ht="15.75" customHeight="1">
      <c r="B696" s="101"/>
      <c r="D696" s="98"/>
      <c r="E696" s="102"/>
      <c r="F696" s="103"/>
    </row>
    <row r="697" ht="15.75" customHeight="1">
      <c r="B697" s="101"/>
      <c r="D697" s="98"/>
      <c r="E697" s="102"/>
      <c r="F697" s="103"/>
    </row>
    <row r="698" ht="15.75" customHeight="1">
      <c r="B698" s="101"/>
      <c r="D698" s="98"/>
      <c r="E698" s="102"/>
      <c r="F698" s="103"/>
    </row>
    <row r="699" ht="15.75" customHeight="1">
      <c r="B699" s="101"/>
      <c r="D699" s="98"/>
      <c r="E699" s="102"/>
      <c r="F699" s="103"/>
    </row>
    <row r="700" ht="15.75" customHeight="1">
      <c r="B700" s="101"/>
      <c r="D700" s="98"/>
      <c r="E700" s="102"/>
      <c r="F700" s="103"/>
    </row>
    <row r="701" ht="15.75" customHeight="1">
      <c r="B701" s="101"/>
      <c r="D701" s="98"/>
      <c r="E701" s="102"/>
      <c r="F701" s="103"/>
    </row>
    <row r="702" ht="15.75" customHeight="1">
      <c r="B702" s="101"/>
      <c r="D702" s="98"/>
      <c r="E702" s="102"/>
      <c r="F702" s="103"/>
    </row>
    <row r="703" ht="15.75" customHeight="1">
      <c r="B703" s="101"/>
      <c r="D703" s="98"/>
      <c r="E703" s="102"/>
      <c r="F703" s="103"/>
    </row>
    <row r="704" ht="15.75" customHeight="1">
      <c r="B704" s="101"/>
      <c r="D704" s="98"/>
      <c r="E704" s="102"/>
      <c r="F704" s="103"/>
    </row>
    <row r="705" ht="15.75" customHeight="1">
      <c r="B705" s="101"/>
      <c r="D705" s="98"/>
      <c r="E705" s="102"/>
      <c r="F705" s="103"/>
    </row>
    <row r="706" ht="15.75" customHeight="1">
      <c r="B706" s="101"/>
      <c r="D706" s="98"/>
      <c r="E706" s="102"/>
      <c r="F706" s="103"/>
    </row>
    <row r="707" ht="15.75" customHeight="1">
      <c r="B707" s="101"/>
      <c r="D707" s="98"/>
      <c r="E707" s="102"/>
      <c r="F707" s="103"/>
    </row>
    <row r="708" ht="15.75" customHeight="1">
      <c r="B708" s="101"/>
      <c r="D708" s="98"/>
      <c r="E708" s="102"/>
      <c r="F708" s="103"/>
    </row>
    <row r="709" ht="15.75" customHeight="1">
      <c r="B709" s="101"/>
      <c r="D709" s="98"/>
      <c r="E709" s="102"/>
      <c r="F709" s="103"/>
    </row>
    <row r="710" ht="15.75" customHeight="1">
      <c r="B710" s="101"/>
      <c r="D710" s="98"/>
      <c r="E710" s="102"/>
      <c r="F710" s="103"/>
    </row>
    <row r="711" ht="15.75" customHeight="1">
      <c r="B711" s="101"/>
      <c r="D711" s="98"/>
      <c r="E711" s="102"/>
      <c r="F711" s="103"/>
    </row>
    <row r="712" ht="15.75" customHeight="1">
      <c r="B712" s="101"/>
      <c r="D712" s="98"/>
      <c r="E712" s="102"/>
      <c r="F712" s="103"/>
    </row>
    <row r="713" ht="15.75" customHeight="1">
      <c r="B713" s="101"/>
      <c r="D713" s="98"/>
      <c r="E713" s="102"/>
      <c r="F713" s="103"/>
    </row>
    <row r="714" ht="15.75" customHeight="1">
      <c r="B714" s="101"/>
      <c r="D714" s="98"/>
      <c r="E714" s="102"/>
      <c r="F714" s="103"/>
    </row>
    <row r="715" ht="15.75" customHeight="1">
      <c r="B715" s="101"/>
      <c r="D715" s="98"/>
      <c r="E715" s="102"/>
      <c r="F715" s="103"/>
    </row>
    <row r="716" ht="15.75" customHeight="1">
      <c r="B716" s="101"/>
      <c r="D716" s="98"/>
      <c r="E716" s="102"/>
      <c r="F716" s="103"/>
    </row>
    <row r="717" ht="15.75" customHeight="1">
      <c r="B717" s="101"/>
      <c r="D717" s="98"/>
      <c r="E717" s="102"/>
      <c r="F717" s="103"/>
    </row>
    <row r="718" ht="15.75" customHeight="1">
      <c r="B718" s="101"/>
      <c r="D718" s="98"/>
      <c r="E718" s="102"/>
      <c r="F718" s="103"/>
    </row>
    <row r="719" ht="15.75" customHeight="1">
      <c r="B719" s="101"/>
      <c r="D719" s="98"/>
      <c r="E719" s="102"/>
      <c r="F719" s="103"/>
    </row>
    <row r="720" ht="15.75" customHeight="1">
      <c r="B720" s="101"/>
      <c r="D720" s="98"/>
      <c r="E720" s="102"/>
      <c r="F720" s="103"/>
    </row>
    <row r="721" ht="15.75" customHeight="1">
      <c r="B721" s="101"/>
      <c r="D721" s="98"/>
      <c r="E721" s="102"/>
      <c r="F721" s="103"/>
    </row>
    <row r="722" ht="15.75" customHeight="1">
      <c r="B722" s="101"/>
      <c r="D722" s="98"/>
      <c r="E722" s="102"/>
      <c r="F722" s="103"/>
    </row>
    <row r="723" ht="15.75" customHeight="1">
      <c r="B723" s="101"/>
      <c r="D723" s="98"/>
      <c r="E723" s="102"/>
      <c r="F723" s="103"/>
    </row>
    <row r="724" ht="15.75" customHeight="1">
      <c r="B724" s="101"/>
      <c r="D724" s="98"/>
      <c r="E724" s="102"/>
      <c r="F724" s="103"/>
    </row>
    <row r="725" ht="15.75" customHeight="1">
      <c r="B725" s="101"/>
      <c r="D725" s="98"/>
      <c r="E725" s="102"/>
      <c r="F725" s="103"/>
    </row>
    <row r="726" ht="15.75" customHeight="1">
      <c r="B726" s="101"/>
      <c r="D726" s="98"/>
      <c r="E726" s="102"/>
      <c r="F726" s="103"/>
    </row>
    <row r="727" ht="15.75" customHeight="1">
      <c r="B727" s="101"/>
      <c r="D727" s="98"/>
      <c r="E727" s="102"/>
      <c r="F727" s="103"/>
    </row>
    <row r="728" ht="15.75" customHeight="1">
      <c r="B728" s="101"/>
      <c r="D728" s="98"/>
      <c r="E728" s="102"/>
      <c r="F728" s="103"/>
    </row>
    <row r="729" ht="15.75" customHeight="1">
      <c r="B729" s="101"/>
      <c r="D729" s="98"/>
      <c r="E729" s="102"/>
      <c r="F729" s="103"/>
    </row>
    <row r="730" ht="15.75" customHeight="1">
      <c r="B730" s="101"/>
      <c r="D730" s="98"/>
      <c r="E730" s="102"/>
      <c r="F730" s="103"/>
    </row>
    <row r="731" ht="15.75" customHeight="1">
      <c r="B731" s="101"/>
      <c r="D731" s="98"/>
      <c r="E731" s="102"/>
      <c r="F731" s="103"/>
    </row>
    <row r="732" ht="15.75" customHeight="1">
      <c r="B732" s="101"/>
      <c r="D732" s="98"/>
      <c r="E732" s="102"/>
      <c r="F732" s="103"/>
    </row>
    <row r="733" ht="15.75" customHeight="1">
      <c r="B733" s="101"/>
      <c r="D733" s="98"/>
      <c r="E733" s="102"/>
      <c r="F733" s="103"/>
    </row>
    <row r="734" ht="15.75" customHeight="1">
      <c r="B734" s="101"/>
      <c r="D734" s="98"/>
      <c r="E734" s="102"/>
      <c r="F734" s="103"/>
    </row>
    <row r="735" ht="15.75" customHeight="1">
      <c r="B735" s="101"/>
      <c r="D735" s="98"/>
      <c r="E735" s="102"/>
      <c r="F735" s="103"/>
    </row>
    <row r="736" ht="15.75" customHeight="1">
      <c r="B736" s="101"/>
      <c r="D736" s="98"/>
      <c r="E736" s="102"/>
      <c r="F736" s="103"/>
    </row>
    <row r="737" ht="15.75" customHeight="1">
      <c r="B737" s="101"/>
      <c r="D737" s="98"/>
      <c r="E737" s="102"/>
      <c r="F737" s="103"/>
    </row>
    <row r="738" ht="15.75" customHeight="1">
      <c r="B738" s="101"/>
      <c r="D738" s="98"/>
      <c r="E738" s="102"/>
      <c r="F738" s="103"/>
    </row>
    <row r="739" ht="15.75" customHeight="1">
      <c r="B739" s="101"/>
      <c r="D739" s="98"/>
      <c r="E739" s="102"/>
      <c r="F739" s="103"/>
    </row>
    <row r="740" ht="15.75" customHeight="1">
      <c r="B740" s="101"/>
      <c r="D740" s="98"/>
      <c r="E740" s="102"/>
      <c r="F740" s="103"/>
    </row>
    <row r="741" ht="15.75" customHeight="1">
      <c r="B741" s="101"/>
      <c r="D741" s="98"/>
      <c r="E741" s="102"/>
      <c r="F741" s="103"/>
    </row>
    <row r="742" ht="15.75" customHeight="1">
      <c r="B742" s="101"/>
      <c r="D742" s="98"/>
      <c r="E742" s="102"/>
      <c r="F742" s="103"/>
    </row>
    <row r="743" ht="15.75" customHeight="1">
      <c r="B743" s="101"/>
      <c r="D743" s="98"/>
      <c r="E743" s="102"/>
      <c r="F743" s="103"/>
    </row>
    <row r="744" ht="15.75" customHeight="1">
      <c r="B744" s="101"/>
      <c r="D744" s="98"/>
      <c r="E744" s="102"/>
      <c r="F744" s="103"/>
    </row>
    <row r="745" ht="15.75" customHeight="1">
      <c r="B745" s="101"/>
      <c r="D745" s="98"/>
      <c r="E745" s="102"/>
      <c r="F745" s="103"/>
    </row>
    <row r="746" ht="15.75" customHeight="1">
      <c r="B746" s="101"/>
      <c r="D746" s="98"/>
      <c r="E746" s="102"/>
      <c r="F746" s="103"/>
    </row>
    <row r="747" ht="15.75" customHeight="1">
      <c r="B747" s="101"/>
      <c r="D747" s="98"/>
      <c r="E747" s="102"/>
      <c r="F747" s="103"/>
    </row>
    <row r="748" ht="15.75" customHeight="1">
      <c r="B748" s="101"/>
      <c r="D748" s="98"/>
      <c r="E748" s="102"/>
      <c r="F748" s="103"/>
    </row>
    <row r="749" ht="15.75" customHeight="1">
      <c r="B749" s="101"/>
      <c r="D749" s="98"/>
      <c r="E749" s="102"/>
      <c r="F749" s="103"/>
    </row>
    <row r="750" ht="15.75" customHeight="1">
      <c r="B750" s="101"/>
      <c r="D750" s="98"/>
      <c r="E750" s="102"/>
      <c r="F750" s="103"/>
    </row>
    <row r="751" ht="15.75" customHeight="1">
      <c r="B751" s="101"/>
      <c r="D751" s="98"/>
      <c r="E751" s="102"/>
      <c r="F751" s="103"/>
    </row>
    <row r="752" ht="15.75" customHeight="1">
      <c r="B752" s="101"/>
      <c r="D752" s="98"/>
      <c r="E752" s="102"/>
      <c r="F752" s="103"/>
    </row>
    <row r="753" ht="15.75" customHeight="1">
      <c r="B753" s="101"/>
      <c r="D753" s="98"/>
      <c r="E753" s="102"/>
      <c r="F753" s="103"/>
    </row>
    <row r="754" ht="15.75" customHeight="1">
      <c r="B754" s="101"/>
      <c r="D754" s="98"/>
      <c r="E754" s="102"/>
      <c r="F754" s="103"/>
    </row>
    <row r="755" ht="15.75" customHeight="1">
      <c r="B755" s="101"/>
      <c r="D755" s="98"/>
      <c r="E755" s="102"/>
      <c r="F755" s="103"/>
    </row>
    <row r="756" ht="15.75" customHeight="1">
      <c r="B756" s="101"/>
      <c r="D756" s="98"/>
      <c r="E756" s="102"/>
      <c r="F756" s="103"/>
    </row>
    <row r="757" ht="15.75" customHeight="1">
      <c r="B757" s="101"/>
      <c r="D757" s="98"/>
      <c r="E757" s="102"/>
      <c r="F757" s="103"/>
    </row>
    <row r="758" ht="15.75" customHeight="1">
      <c r="B758" s="101"/>
      <c r="D758" s="98"/>
      <c r="E758" s="102"/>
      <c r="F758" s="103"/>
    </row>
    <row r="759" ht="15.75" customHeight="1">
      <c r="B759" s="101"/>
      <c r="D759" s="98"/>
      <c r="E759" s="102"/>
      <c r="F759" s="103"/>
    </row>
    <row r="760" ht="15.75" customHeight="1">
      <c r="B760" s="101"/>
      <c r="D760" s="98"/>
      <c r="E760" s="102"/>
      <c r="F760" s="103"/>
    </row>
    <row r="761" ht="15.75" customHeight="1">
      <c r="B761" s="101"/>
      <c r="D761" s="98"/>
      <c r="E761" s="102"/>
      <c r="F761" s="103"/>
    </row>
    <row r="762" ht="15.75" customHeight="1">
      <c r="B762" s="101"/>
      <c r="D762" s="98"/>
      <c r="E762" s="102"/>
      <c r="F762" s="103"/>
    </row>
    <row r="763" ht="15.75" customHeight="1">
      <c r="B763" s="101"/>
      <c r="D763" s="98"/>
      <c r="E763" s="102"/>
      <c r="F763" s="103"/>
    </row>
    <row r="764" ht="15.75" customHeight="1">
      <c r="B764" s="101"/>
      <c r="D764" s="98"/>
      <c r="E764" s="102"/>
      <c r="F764" s="103"/>
    </row>
    <row r="765" ht="15.75" customHeight="1">
      <c r="B765" s="101"/>
      <c r="D765" s="98"/>
      <c r="E765" s="102"/>
      <c r="F765" s="103"/>
    </row>
    <row r="766" ht="15.75" customHeight="1">
      <c r="B766" s="101"/>
      <c r="D766" s="98"/>
      <c r="E766" s="102"/>
      <c r="F766" s="103"/>
    </row>
    <row r="767" ht="15.75" customHeight="1">
      <c r="B767" s="101"/>
      <c r="D767" s="98"/>
      <c r="E767" s="102"/>
      <c r="F767" s="103"/>
    </row>
    <row r="768" ht="15.75" customHeight="1">
      <c r="B768" s="101"/>
      <c r="D768" s="98"/>
      <c r="E768" s="102"/>
      <c r="F768" s="103"/>
    </row>
    <row r="769" ht="15.75" customHeight="1">
      <c r="B769" s="101"/>
      <c r="D769" s="98"/>
      <c r="E769" s="102"/>
      <c r="F769" s="103"/>
    </row>
    <row r="770" ht="15.75" customHeight="1">
      <c r="B770" s="101"/>
      <c r="D770" s="98"/>
      <c r="E770" s="102"/>
      <c r="F770" s="103"/>
    </row>
    <row r="771" ht="15.75" customHeight="1">
      <c r="B771" s="101"/>
      <c r="D771" s="98"/>
      <c r="E771" s="102"/>
      <c r="F771" s="103"/>
    </row>
    <row r="772" ht="15.75" customHeight="1">
      <c r="B772" s="101"/>
      <c r="D772" s="98"/>
      <c r="E772" s="102"/>
      <c r="F772" s="103"/>
    </row>
    <row r="773" ht="15.75" customHeight="1">
      <c r="B773" s="101"/>
      <c r="D773" s="98"/>
      <c r="E773" s="102"/>
      <c r="F773" s="103"/>
    </row>
    <row r="774" ht="15.75" customHeight="1">
      <c r="B774" s="101"/>
      <c r="D774" s="98"/>
      <c r="E774" s="102"/>
      <c r="F774" s="103"/>
    </row>
    <row r="775" ht="15.75" customHeight="1">
      <c r="B775" s="101"/>
      <c r="D775" s="98"/>
      <c r="E775" s="102"/>
      <c r="F775" s="103"/>
    </row>
    <row r="776" ht="15.75" customHeight="1">
      <c r="B776" s="101"/>
      <c r="D776" s="98"/>
      <c r="E776" s="102"/>
      <c r="F776" s="103"/>
    </row>
    <row r="777" ht="15.75" customHeight="1">
      <c r="B777" s="101"/>
      <c r="D777" s="98"/>
      <c r="E777" s="102"/>
      <c r="F777" s="103"/>
    </row>
    <row r="778" ht="15.75" customHeight="1">
      <c r="B778" s="101"/>
      <c r="D778" s="98"/>
      <c r="E778" s="102"/>
      <c r="F778" s="103"/>
    </row>
    <row r="779" ht="15.75" customHeight="1">
      <c r="B779" s="101"/>
      <c r="D779" s="98"/>
      <c r="E779" s="102"/>
      <c r="F779" s="103"/>
    </row>
    <row r="780" ht="15.75" customHeight="1">
      <c r="B780" s="101"/>
      <c r="D780" s="98"/>
      <c r="E780" s="102"/>
      <c r="F780" s="103"/>
    </row>
    <row r="781" ht="15.75" customHeight="1">
      <c r="B781" s="101"/>
      <c r="D781" s="98"/>
      <c r="E781" s="102"/>
      <c r="F781" s="103"/>
    </row>
    <row r="782" ht="15.75" customHeight="1">
      <c r="B782" s="101"/>
      <c r="D782" s="98"/>
      <c r="E782" s="102"/>
      <c r="F782" s="103"/>
    </row>
    <row r="783" ht="15.75" customHeight="1">
      <c r="B783" s="101"/>
      <c r="D783" s="98"/>
      <c r="E783" s="102"/>
      <c r="F783" s="103"/>
    </row>
    <row r="784" ht="15.75" customHeight="1">
      <c r="B784" s="101"/>
      <c r="D784" s="98"/>
      <c r="E784" s="102"/>
      <c r="F784" s="103"/>
    </row>
    <row r="785" ht="15.75" customHeight="1">
      <c r="B785" s="101"/>
      <c r="D785" s="98"/>
      <c r="E785" s="102"/>
      <c r="F785" s="103"/>
    </row>
    <row r="786" ht="15.75" customHeight="1">
      <c r="B786" s="101"/>
      <c r="D786" s="98"/>
      <c r="E786" s="102"/>
      <c r="F786" s="103"/>
    </row>
    <row r="787" ht="15.75" customHeight="1">
      <c r="B787" s="101"/>
      <c r="D787" s="98"/>
      <c r="E787" s="102"/>
      <c r="F787" s="103"/>
    </row>
    <row r="788" ht="15.75" customHeight="1">
      <c r="B788" s="101"/>
      <c r="D788" s="98"/>
      <c r="E788" s="102"/>
      <c r="F788" s="103"/>
    </row>
    <row r="789" ht="15.75" customHeight="1">
      <c r="B789" s="101"/>
      <c r="D789" s="98"/>
      <c r="E789" s="102"/>
      <c r="F789" s="103"/>
    </row>
    <row r="790" ht="15.75" customHeight="1">
      <c r="B790" s="101"/>
      <c r="D790" s="98"/>
      <c r="E790" s="102"/>
      <c r="F790" s="103"/>
    </row>
    <row r="791" ht="15.75" customHeight="1">
      <c r="B791" s="101"/>
      <c r="D791" s="98"/>
      <c r="E791" s="102"/>
      <c r="F791" s="103"/>
    </row>
    <row r="792" ht="15.75" customHeight="1">
      <c r="B792" s="101"/>
      <c r="D792" s="98"/>
      <c r="E792" s="102"/>
      <c r="F792" s="103"/>
    </row>
    <row r="793" ht="15.75" customHeight="1">
      <c r="B793" s="101"/>
      <c r="D793" s="98"/>
      <c r="E793" s="102"/>
      <c r="F793" s="103"/>
    </row>
    <row r="794" ht="15.75" customHeight="1">
      <c r="B794" s="101"/>
      <c r="D794" s="98"/>
      <c r="E794" s="102"/>
      <c r="F794" s="103"/>
    </row>
    <row r="795" ht="15.75" customHeight="1">
      <c r="B795" s="101"/>
      <c r="D795" s="98"/>
      <c r="E795" s="102"/>
      <c r="F795" s="103"/>
    </row>
    <row r="796" ht="15.75" customHeight="1">
      <c r="B796" s="101"/>
      <c r="D796" s="98"/>
      <c r="E796" s="102"/>
      <c r="F796" s="103"/>
    </row>
    <row r="797" ht="15.75" customHeight="1">
      <c r="B797" s="101"/>
      <c r="D797" s="98"/>
      <c r="E797" s="102"/>
      <c r="F797" s="103"/>
    </row>
    <row r="798" ht="15.75" customHeight="1">
      <c r="B798" s="101"/>
      <c r="D798" s="98"/>
      <c r="E798" s="102"/>
      <c r="F798" s="103"/>
    </row>
    <row r="799" ht="15.75" customHeight="1">
      <c r="B799" s="101"/>
      <c r="D799" s="98"/>
      <c r="E799" s="102"/>
      <c r="F799" s="103"/>
    </row>
    <row r="800" ht="15.75" customHeight="1">
      <c r="B800" s="101"/>
      <c r="D800" s="98"/>
      <c r="E800" s="102"/>
      <c r="F800" s="103"/>
    </row>
    <row r="801" ht="15.75" customHeight="1">
      <c r="B801" s="101"/>
      <c r="D801" s="98"/>
      <c r="E801" s="102"/>
      <c r="F801" s="103"/>
    </row>
    <row r="802" ht="15.75" customHeight="1">
      <c r="B802" s="101"/>
      <c r="D802" s="98"/>
      <c r="E802" s="102"/>
      <c r="F802" s="103"/>
    </row>
    <row r="803" ht="15.75" customHeight="1">
      <c r="B803" s="101"/>
      <c r="D803" s="98"/>
      <c r="E803" s="102"/>
      <c r="F803" s="103"/>
    </row>
    <row r="804" ht="15.75" customHeight="1">
      <c r="B804" s="101"/>
      <c r="D804" s="98"/>
      <c r="E804" s="102"/>
      <c r="F804" s="103"/>
    </row>
    <row r="805" ht="15.75" customHeight="1">
      <c r="B805" s="101"/>
      <c r="D805" s="98"/>
      <c r="E805" s="102"/>
      <c r="F805" s="103"/>
    </row>
    <row r="806" ht="15.75" customHeight="1">
      <c r="B806" s="101"/>
      <c r="D806" s="98"/>
      <c r="E806" s="102"/>
      <c r="F806" s="103"/>
    </row>
    <row r="807" ht="15.75" customHeight="1">
      <c r="B807" s="101"/>
      <c r="D807" s="98"/>
      <c r="E807" s="102"/>
      <c r="F807" s="103"/>
    </row>
    <row r="808" ht="15.75" customHeight="1">
      <c r="B808" s="101"/>
      <c r="D808" s="98"/>
      <c r="E808" s="102"/>
      <c r="F808" s="103"/>
    </row>
    <row r="809" ht="15.75" customHeight="1">
      <c r="B809" s="101"/>
      <c r="D809" s="98"/>
      <c r="E809" s="102"/>
      <c r="F809" s="103"/>
    </row>
    <row r="810" ht="15.75" customHeight="1">
      <c r="B810" s="101"/>
      <c r="D810" s="98"/>
      <c r="E810" s="102"/>
      <c r="F810" s="103"/>
    </row>
    <row r="811" ht="15.75" customHeight="1">
      <c r="B811" s="101"/>
      <c r="D811" s="98"/>
      <c r="E811" s="102"/>
      <c r="F811" s="103"/>
    </row>
    <row r="812" ht="15.75" customHeight="1">
      <c r="B812" s="101"/>
      <c r="D812" s="98"/>
      <c r="E812" s="102"/>
      <c r="F812" s="103"/>
    </row>
    <row r="813" ht="15.75" customHeight="1">
      <c r="B813" s="101"/>
      <c r="D813" s="98"/>
      <c r="E813" s="102"/>
      <c r="F813" s="103"/>
    </row>
    <row r="814" ht="15.75" customHeight="1">
      <c r="B814" s="101"/>
      <c r="D814" s="98"/>
      <c r="E814" s="102"/>
      <c r="F814" s="103"/>
    </row>
    <row r="815" ht="15.75" customHeight="1">
      <c r="B815" s="101"/>
      <c r="D815" s="98"/>
      <c r="E815" s="102"/>
      <c r="F815" s="103"/>
    </row>
    <row r="816" ht="15.75" customHeight="1">
      <c r="B816" s="101"/>
      <c r="D816" s="98"/>
      <c r="E816" s="102"/>
      <c r="F816" s="103"/>
    </row>
    <row r="817" ht="15.75" customHeight="1">
      <c r="B817" s="101"/>
      <c r="D817" s="98"/>
      <c r="E817" s="102"/>
      <c r="F817" s="103"/>
    </row>
    <row r="818" ht="15.75" customHeight="1">
      <c r="B818" s="101"/>
      <c r="D818" s="98"/>
      <c r="E818" s="102"/>
      <c r="F818" s="103"/>
    </row>
    <row r="819" ht="15.75" customHeight="1">
      <c r="B819" s="101"/>
      <c r="D819" s="98"/>
      <c r="E819" s="102"/>
      <c r="F819" s="103"/>
    </row>
    <row r="820" ht="15.75" customHeight="1">
      <c r="B820" s="101"/>
      <c r="D820" s="98"/>
      <c r="E820" s="102"/>
      <c r="F820" s="103"/>
    </row>
    <row r="821" ht="15.75" customHeight="1">
      <c r="B821" s="101"/>
      <c r="D821" s="98"/>
      <c r="E821" s="102"/>
      <c r="F821" s="103"/>
    </row>
    <row r="822" ht="15.75" customHeight="1">
      <c r="B822" s="101"/>
      <c r="D822" s="98"/>
      <c r="E822" s="102"/>
      <c r="F822" s="103"/>
    </row>
    <row r="823" ht="15.75" customHeight="1">
      <c r="B823" s="101"/>
      <c r="D823" s="98"/>
      <c r="E823" s="102"/>
      <c r="F823" s="103"/>
    </row>
    <row r="824" ht="15.75" customHeight="1">
      <c r="B824" s="101"/>
      <c r="D824" s="98"/>
      <c r="E824" s="102"/>
      <c r="F824" s="103"/>
    </row>
    <row r="825" ht="15.75" customHeight="1">
      <c r="B825" s="101"/>
      <c r="D825" s="98"/>
      <c r="E825" s="102"/>
      <c r="F825" s="103"/>
    </row>
    <row r="826" ht="15.75" customHeight="1">
      <c r="B826" s="101"/>
      <c r="D826" s="98"/>
      <c r="E826" s="102"/>
      <c r="F826" s="103"/>
    </row>
    <row r="827" ht="15.75" customHeight="1">
      <c r="B827" s="101"/>
      <c r="D827" s="98"/>
      <c r="E827" s="102"/>
      <c r="F827" s="103"/>
    </row>
    <row r="828" ht="15.75" customHeight="1">
      <c r="B828" s="101"/>
      <c r="D828" s="98"/>
      <c r="E828" s="102"/>
      <c r="F828" s="103"/>
    </row>
    <row r="829" ht="15.75" customHeight="1">
      <c r="B829" s="101"/>
      <c r="D829" s="98"/>
      <c r="E829" s="102"/>
      <c r="F829" s="103"/>
    </row>
    <row r="830" ht="15.75" customHeight="1">
      <c r="B830" s="101"/>
      <c r="D830" s="98"/>
      <c r="E830" s="102"/>
      <c r="F830" s="103"/>
    </row>
    <row r="831" ht="15.75" customHeight="1">
      <c r="B831" s="101"/>
      <c r="D831" s="98"/>
      <c r="E831" s="102"/>
      <c r="F831" s="103"/>
    </row>
    <row r="832" ht="15.75" customHeight="1">
      <c r="B832" s="101"/>
      <c r="D832" s="98"/>
      <c r="E832" s="102"/>
      <c r="F832" s="103"/>
    </row>
    <row r="833" ht="15.75" customHeight="1">
      <c r="B833" s="101"/>
      <c r="D833" s="98"/>
      <c r="E833" s="102"/>
      <c r="F833" s="103"/>
    </row>
    <row r="834" ht="15.75" customHeight="1">
      <c r="B834" s="101"/>
      <c r="D834" s="98"/>
      <c r="E834" s="102"/>
      <c r="F834" s="103"/>
    </row>
    <row r="835" ht="15.75" customHeight="1">
      <c r="B835" s="101"/>
      <c r="D835" s="98"/>
      <c r="E835" s="102"/>
      <c r="F835" s="103"/>
    </row>
    <row r="836" ht="15.75" customHeight="1">
      <c r="B836" s="101"/>
      <c r="D836" s="98"/>
      <c r="E836" s="102"/>
      <c r="F836" s="103"/>
    </row>
    <row r="837" ht="15.75" customHeight="1">
      <c r="B837" s="101"/>
      <c r="D837" s="98"/>
      <c r="E837" s="102"/>
      <c r="F837" s="103"/>
    </row>
    <row r="838" ht="15.75" customHeight="1">
      <c r="B838" s="101"/>
      <c r="D838" s="98"/>
      <c r="E838" s="102"/>
      <c r="F838" s="103"/>
    </row>
    <row r="839" ht="15.75" customHeight="1">
      <c r="B839" s="101"/>
      <c r="D839" s="98"/>
      <c r="E839" s="102"/>
      <c r="F839" s="103"/>
    </row>
    <row r="840" ht="15.75" customHeight="1">
      <c r="B840" s="101"/>
      <c r="D840" s="98"/>
      <c r="E840" s="102"/>
      <c r="F840" s="103"/>
    </row>
    <row r="841" ht="15.75" customHeight="1">
      <c r="B841" s="101"/>
      <c r="D841" s="98"/>
      <c r="E841" s="102"/>
      <c r="F841" s="103"/>
    </row>
    <row r="842" ht="15.75" customHeight="1">
      <c r="B842" s="101"/>
      <c r="D842" s="98"/>
      <c r="E842" s="102"/>
      <c r="F842" s="103"/>
    </row>
    <row r="843" ht="15.75" customHeight="1">
      <c r="B843" s="101"/>
      <c r="D843" s="98"/>
      <c r="E843" s="102"/>
      <c r="F843" s="103"/>
    </row>
    <row r="844" ht="15.75" customHeight="1">
      <c r="B844" s="101"/>
      <c r="D844" s="98"/>
      <c r="E844" s="102"/>
      <c r="F844" s="103"/>
    </row>
    <row r="845" ht="15.75" customHeight="1">
      <c r="B845" s="101"/>
      <c r="D845" s="98"/>
      <c r="E845" s="102"/>
      <c r="F845" s="103"/>
    </row>
    <row r="846" ht="15.75" customHeight="1">
      <c r="B846" s="101"/>
      <c r="D846" s="98"/>
      <c r="E846" s="102"/>
      <c r="F846" s="103"/>
    </row>
    <row r="847" ht="15.75" customHeight="1">
      <c r="B847" s="101"/>
      <c r="D847" s="98"/>
      <c r="E847" s="102"/>
      <c r="F847" s="103"/>
    </row>
    <row r="848" ht="15.75" customHeight="1">
      <c r="B848" s="101"/>
      <c r="D848" s="98"/>
      <c r="E848" s="102"/>
      <c r="F848" s="103"/>
    </row>
    <row r="849" ht="15.75" customHeight="1">
      <c r="B849" s="101"/>
      <c r="D849" s="98"/>
      <c r="E849" s="102"/>
      <c r="F849" s="103"/>
    </row>
    <row r="850" ht="15.75" customHeight="1">
      <c r="B850" s="101"/>
      <c r="D850" s="98"/>
      <c r="E850" s="102"/>
      <c r="F850" s="103"/>
    </row>
    <row r="851" ht="15.75" customHeight="1">
      <c r="B851" s="101"/>
      <c r="D851" s="98"/>
      <c r="E851" s="102"/>
      <c r="F851" s="103"/>
    </row>
    <row r="852" ht="15.75" customHeight="1">
      <c r="B852" s="101"/>
      <c r="D852" s="98"/>
      <c r="E852" s="102"/>
      <c r="F852" s="103"/>
    </row>
    <row r="853" ht="15.75" customHeight="1">
      <c r="B853" s="101"/>
      <c r="D853" s="98"/>
      <c r="E853" s="102"/>
      <c r="F853" s="103"/>
    </row>
    <row r="854" ht="15.75" customHeight="1">
      <c r="B854" s="101"/>
      <c r="D854" s="98"/>
      <c r="E854" s="102"/>
      <c r="F854" s="103"/>
    </row>
    <row r="855" ht="15.75" customHeight="1">
      <c r="B855" s="101"/>
      <c r="D855" s="98"/>
      <c r="E855" s="102"/>
      <c r="F855" s="103"/>
    </row>
    <row r="856" ht="15.75" customHeight="1">
      <c r="B856" s="101"/>
      <c r="D856" s="98"/>
      <c r="E856" s="102"/>
      <c r="F856" s="103"/>
    </row>
    <row r="857" ht="15.75" customHeight="1">
      <c r="B857" s="101"/>
      <c r="D857" s="98"/>
      <c r="E857" s="102"/>
      <c r="F857" s="103"/>
    </row>
    <row r="858" ht="15.75" customHeight="1">
      <c r="B858" s="101"/>
      <c r="D858" s="98"/>
      <c r="E858" s="102"/>
      <c r="F858" s="103"/>
    </row>
    <row r="859" ht="15.75" customHeight="1">
      <c r="B859" s="101"/>
      <c r="D859" s="98"/>
      <c r="E859" s="102"/>
      <c r="F859" s="103"/>
    </row>
    <row r="860" ht="15.75" customHeight="1">
      <c r="B860" s="101"/>
      <c r="D860" s="98"/>
      <c r="E860" s="102"/>
      <c r="F860" s="103"/>
    </row>
    <row r="861" ht="15.75" customHeight="1">
      <c r="B861" s="101"/>
      <c r="D861" s="98"/>
      <c r="E861" s="102"/>
      <c r="F861" s="103"/>
    </row>
    <row r="862" ht="15.75" customHeight="1">
      <c r="B862" s="101"/>
      <c r="D862" s="98"/>
      <c r="E862" s="102"/>
      <c r="F862" s="103"/>
    </row>
    <row r="863" ht="15.75" customHeight="1">
      <c r="B863" s="101"/>
      <c r="D863" s="98"/>
      <c r="E863" s="102"/>
      <c r="F863" s="103"/>
    </row>
    <row r="864" ht="15.75" customHeight="1">
      <c r="B864" s="101"/>
      <c r="D864" s="98"/>
      <c r="E864" s="102"/>
      <c r="F864" s="103"/>
    </row>
    <row r="865" ht="15.75" customHeight="1">
      <c r="B865" s="101"/>
      <c r="D865" s="98"/>
      <c r="E865" s="102"/>
      <c r="F865" s="103"/>
    </row>
    <row r="866" ht="15.75" customHeight="1">
      <c r="B866" s="101"/>
      <c r="D866" s="98"/>
      <c r="E866" s="102"/>
      <c r="F866" s="103"/>
    </row>
    <row r="867" ht="15.75" customHeight="1">
      <c r="B867" s="101"/>
      <c r="D867" s="98"/>
      <c r="E867" s="102"/>
      <c r="F867" s="103"/>
    </row>
    <row r="868" ht="15.75" customHeight="1">
      <c r="B868" s="101"/>
      <c r="D868" s="98"/>
      <c r="E868" s="102"/>
      <c r="F868" s="103"/>
    </row>
    <row r="869" ht="15.75" customHeight="1">
      <c r="B869" s="101"/>
      <c r="D869" s="98"/>
      <c r="E869" s="102"/>
      <c r="F869" s="103"/>
    </row>
    <row r="870" ht="15.75" customHeight="1">
      <c r="B870" s="101"/>
      <c r="D870" s="98"/>
      <c r="E870" s="102"/>
      <c r="F870" s="103"/>
    </row>
    <row r="871" ht="15.75" customHeight="1">
      <c r="B871" s="101"/>
      <c r="D871" s="98"/>
      <c r="E871" s="102"/>
      <c r="F871" s="103"/>
    </row>
    <row r="872" ht="15.75" customHeight="1">
      <c r="B872" s="101"/>
      <c r="D872" s="98"/>
      <c r="E872" s="102"/>
      <c r="F872" s="103"/>
    </row>
    <row r="873" ht="15.75" customHeight="1">
      <c r="B873" s="101"/>
      <c r="D873" s="98"/>
      <c r="E873" s="102"/>
      <c r="F873" s="103"/>
    </row>
    <row r="874" ht="15.75" customHeight="1">
      <c r="B874" s="101"/>
      <c r="D874" s="98"/>
      <c r="E874" s="102"/>
      <c r="F874" s="103"/>
    </row>
    <row r="875" ht="15.75" customHeight="1">
      <c r="B875" s="101"/>
      <c r="D875" s="98"/>
      <c r="E875" s="102"/>
      <c r="F875" s="103"/>
    </row>
    <row r="876" ht="15.75" customHeight="1">
      <c r="B876" s="101"/>
      <c r="D876" s="98"/>
      <c r="E876" s="102"/>
      <c r="F876" s="103"/>
    </row>
    <row r="877" ht="15.75" customHeight="1">
      <c r="B877" s="101"/>
      <c r="D877" s="98"/>
      <c r="E877" s="102"/>
      <c r="F877" s="103"/>
    </row>
    <row r="878" ht="15.75" customHeight="1">
      <c r="B878" s="101"/>
      <c r="D878" s="98"/>
      <c r="E878" s="102"/>
      <c r="F878" s="103"/>
    </row>
    <row r="879" ht="15.75" customHeight="1">
      <c r="B879" s="101"/>
      <c r="D879" s="98"/>
      <c r="E879" s="102"/>
      <c r="F879" s="103"/>
    </row>
    <row r="880" ht="15.75" customHeight="1">
      <c r="B880" s="101"/>
      <c r="D880" s="98"/>
      <c r="E880" s="102"/>
      <c r="F880" s="103"/>
    </row>
    <row r="881" ht="15.75" customHeight="1">
      <c r="B881" s="101"/>
      <c r="D881" s="98"/>
      <c r="E881" s="102"/>
      <c r="F881" s="103"/>
    </row>
    <row r="882" ht="15.75" customHeight="1">
      <c r="B882" s="101"/>
      <c r="D882" s="98"/>
      <c r="E882" s="102"/>
      <c r="F882" s="103"/>
    </row>
    <row r="883" ht="15.75" customHeight="1">
      <c r="B883" s="101"/>
      <c r="D883" s="98"/>
      <c r="E883" s="102"/>
      <c r="F883" s="103"/>
    </row>
    <row r="884" ht="15.75" customHeight="1">
      <c r="B884" s="101"/>
      <c r="D884" s="98"/>
      <c r="E884" s="102"/>
      <c r="F884" s="103"/>
    </row>
    <row r="885" ht="15.75" customHeight="1">
      <c r="B885" s="101"/>
      <c r="D885" s="98"/>
      <c r="E885" s="102"/>
      <c r="F885" s="103"/>
    </row>
    <row r="886" ht="15.75" customHeight="1">
      <c r="B886" s="101"/>
      <c r="D886" s="98"/>
      <c r="E886" s="102"/>
      <c r="F886" s="103"/>
    </row>
    <row r="887" ht="15.75" customHeight="1">
      <c r="B887" s="101"/>
      <c r="D887" s="98"/>
      <c r="E887" s="102"/>
      <c r="F887" s="103"/>
    </row>
    <row r="888" ht="15.75" customHeight="1">
      <c r="B888" s="101"/>
      <c r="D888" s="98"/>
      <c r="E888" s="102"/>
      <c r="F888" s="103"/>
    </row>
    <row r="889" ht="15.75" customHeight="1">
      <c r="B889" s="101"/>
      <c r="D889" s="98"/>
      <c r="E889" s="102"/>
      <c r="F889" s="103"/>
    </row>
    <row r="890" ht="15.75" customHeight="1">
      <c r="B890" s="101"/>
      <c r="D890" s="98"/>
      <c r="E890" s="102"/>
      <c r="F890" s="103"/>
    </row>
    <row r="891" ht="15.75" customHeight="1">
      <c r="B891" s="101"/>
      <c r="D891" s="98"/>
      <c r="E891" s="102"/>
      <c r="F891" s="103"/>
    </row>
    <row r="892" ht="15.75" customHeight="1">
      <c r="B892" s="101"/>
      <c r="D892" s="98"/>
      <c r="E892" s="102"/>
      <c r="F892" s="103"/>
    </row>
    <row r="893" ht="15.75" customHeight="1">
      <c r="B893" s="101"/>
      <c r="D893" s="98"/>
      <c r="E893" s="102"/>
      <c r="F893" s="103"/>
    </row>
    <row r="894" ht="15.75" customHeight="1">
      <c r="B894" s="101"/>
      <c r="D894" s="98"/>
      <c r="E894" s="102"/>
      <c r="F894" s="103"/>
    </row>
    <row r="895" ht="15.75" customHeight="1">
      <c r="B895" s="101"/>
      <c r="D895" s="98"/>
      <c r="E895" s="102"/>
      <c r="F895" s="103"/>
    </row>
    <row r="896" ht="15.75" customHeight="1">
      <c r="B896" s="101"/>
      <c r="D896" s="98"/>
      <c r="E896" s="102"/>
      <c r="F896" s="103"/>
    </row>
    <row r="897" ht="15.75" customHeight="1">
      <c r="B897" s="101"/>
      <c r="D897" s="98"/>
      <c r="E897" s="102"/>
      <c r="F897" s="103"/>
    </row>
    <row r="898" ht="15.75" customHeight="1">
      <c r="B898" s="101"/>
      <c r="D898" s="98"/>
      <c r="E898" s="102"/>
      <c r="F898" s="103"/>
    </row>
    <row r="899" ht="15.75" customHeight="1">
      <c r="B899" s="101"/>
      <c r="D899" s="98"/>
      <c r="E899" s="102"/>
      <c r="F899" s="103"/>
    </row>
    <row r="900" ht="15.75" customHeight="1">
      <c r="B900" s="101"/>
      <c r="D900" s="98"/>
      <c r="E900" s="102"/>
      <c r="F900" s="103"/>
    </row>
    <row r="901" ht="15.75" customHeight="1">
      <c r="B901" s="101"/>
      <c r="D901" s="98"/>
      <c r="E901" s="102"/>
      <c r="F901" s="103"/>
    </row>
    <row r="902" ht="15.75" customHeight="1">
      <c r="B902" s="101"/>
      <c r="D902" s="98"/>
      <c r="E902" s="102"/>
      <c r="F902" s="103"/>
    </row>
    <row r="903" ht="15.75" customHeight="1">
      <c r="B903" s="101"/>
      <c r="D903" s="98"/>
      <c r="E903" s="102"/>
      <c r="F903" s="103"/>
    </row>
    <row r="904" ht="15.75" customHeight="1">
      <c r="B904" s="101"/>
      <c r="D904" s="98"/>
      <c r="E904" s="102"/>
      <c r="F904" s="103"/>
    </row>
    <row r="905" ht="15.75" customHeight="1">
      <c r="B905" s="101"/>
      <c r="D905" s="98"/>
      <c r="E905" s="102"/>
      <c r="F905" s="103"/>
    </row>
    <row r="906" ht="15.75" customHeight="1">
      <c r="B906" s="101"/>
      <c r="D906" s="98"/>
      <c r="E906" s="102"/>
      <c r="F906" s="103"/>
    </row>
    <row r="907" ht="15.75" customHeight="1">
      <c r="B907" s="101"/>
      <c r="D907" s="98"/>
      <c r="E907" s="102"/>
      <c r="F907" s="103"/>
    </row>
    <row r="908" ht="15.75" customHeight="1">
      <c r="B908" s="101"/>
      <c r="D908" s="98"/>
      <c r="E908" s="102"/>
      <c r="F908" s="103"/>
    </row>
    <row r="909" ht="15.75" customHeight="1">
      <c r="B909" s="101"/>
      <c r="D909" s="98"/>
      <c r="E909" s="102"/>
      <c r="F909" s="103"/>
    </row>
    <row r="910" ht="15.75" customHeight="1">
      <c r="B910" s="101"/>
      <c r="D910" s="98"/>
      <c r="E910" s="102"/>
      <c r="F910" s="103"/>
    </row>
    <row r="911" ht="15.75" customHeight="1">
      <c r="B911" s="101"/>
      <c r="D911" s="98"/>
      <c r="E911" s="102"/>
      <c r="F911" s="103"/>
    </row>
    <row r="912" ht="15.75" customHeight="1">
      <c r="B912" s="101"/>
      <c r="D912" s="98"/>
      <c r="E912" s="102"/>
      <c r="F912" s="103"/>
    </row>
    <row r="913" ht="15.75" customHeight="1">
      <c r="B913" s="101"/>
      <c r="D913" s="98"/>
      <c r="E913" s="102"/>
      <c r="F913" s="103"/>
    </row>
    <row r="914" ht="15.75" customHeight="1">
      <c r="B914" s="101"/>
      <c r="D914" s="98"/>
      <c r="E914" s="102"/>
      <c r="F914" s="103"/>
    </row>
    <row r="915" ht="15.75" customHeight="1">
      <c r="B915" s="101"/>
      <c r="D915" s="98"/>
      <c r="E915" s="102"/>
      <c r="F915" s="103"/>
    </row>
    <row r="916" ht="15.75" customHeight="1">
      <c r="B916" s="101"/>
      <c r="D916" s="98"/>
      <c r="E916" s="102"/>
      <c r="F916" s="103"/>
    </row>
    <row r="917" ht="15.75" customHeight="1">
      <c r="B917" s="101"/>
      <c r="D917" s="98"/>
      <c r="E917" s="102"/>
      <c r="F917" s="103"/>
    </row>
    <row r="918" ht="15.75" customHeight="1">
      <c r="B918" s="101"/>
      <c r="D918" s="98"/>
      <c r="E918" s="102"/>
      <c r="F918" s="103"/>
    </row>
    <row r="919" ht="15.75" customHeight="1">
      <c r="B919" s="101"/>
      <c r="D919" s="98"/>
      <c r="E919" s="102"/>
      <c r="F919" s="103"/>
    </row>
    <row r="920" ht="15.75" customHeight="1">
      <c r="B920" s="101"/>
      <c r="D920" s="98"/>
      <c r="E920" s="102"/>
      <c r="F920" s="103"/>
    </row>
    <row r="921" ht="15.75" customHeight="1">
      <c r="B921" s="101"/>
      <c r="D921" s="98"/>
      <c r="E921" s="102"/>
      <c r="F921" s="103"/>
    </row>
    <row r="922" ht="15.75" customHeight="1">
      <c r="B922" s="101"/>
      <c r="D922" s="98"/>
      <c r="E922" s="102"/>
      <c r="F922" s="103"/>
    </row>
    <row r="923" ht="15.75" customHeight="1">
      <c r="B923" s="101"/>
      <c r="D923" s="98"/>
      <c r="E923" s="102"/>
      <c r="F923" s="103"/>
    </row>
    <row r="924" ht="15.75" customHeight="1">
      <c r="B924" s="101"/>
      <c r="D924" s="98"/>
      <c r="E924" s="102"/>
      <c r="F924" s="103"/>
    </row>
    <row r="925" ht="15.75" customHeight="1">
      <c r="B925" s="101"/>
      <c r="D925" s="98"/>
      <c r="E925" s="102"/>
      <c r="F925" s="103"/>
    </row>
    <row r="926" ht="15.75" customHeight="1">
      <c r="B926" s="101"/>
      <c r="D926" s="98"/>
      <c r="E926" s="102"/>
      <c r="F926" s="103"/>
    </row>
    <row r="927" ht="15.75" customHeight="1">
      <c r="B927" s="101"/>
      <c r="D927" s="98"/>
      <c r="E927" s="102"/>
      <c r="F927" s="103"/>
    </row>
    <row r="928" ht="15.75" customHeight="1">
      <c r="B928" s="101"/>
      <c r="D928" s="98"/>
      <c r="E928" s="102"/>
      <c r="F928" s="103"/>
    </row>
    <row r="929" ht="15.75" customHeight="1">
      <c r="B929" s="101"/>
      <c r="D929" s="98"/>
      <c r="E929" s="102"/>
      <c r="F929" s="103"/>
    </row>
    <row r="930" ht="15.75" customHeight="1">
      <c r="B930" s="101"/>
      <c r="D930" s="98"/>
      <c r="E930" s="102"/>
      <c r="F930" s="103"/>
    </row>
    <row r="931" ht="15.75" customHeight="1">
      <c r="B931" s="101"/>
      <c r="D931" s="98"/>
      <c r="E931" s="102"/>
      <c r="F931" s="103"/>
    </row>
    <row r="932" ht="15.75" customHeight="1">
      <c r="B932" s="101"/>
      <c r="D932" s="98"/>
      <c r="E932" s="102"/>
      <c r="F932" s="103"/>
    </row>
    <row r="933" ht="15.75" customHeight="1">
      <c r="B933" s="101"/>
      <c r="D933" s="98"/>
      <c r="E933" s="102"/>
      <c r="F933" s="103"/>
    </row>
    <row r="934" ht="15.75" customHeight="1">
      <c r="B934" s="101"/>
      <c r="D934" s="98"/>
      <c r="E934" s="102"/>
      <c r="F934" s="103"/>
    </row>
    <row r="935" ht="15.75" customHeight="1">
      <c r="B935" s="101"/>
      <c r="D935" s="98"/>
      <c r="E935" s="102"/>
      <c r="F935" s="103"/>
    </row>
    <row r="936" ht="15.75" customHeight="1">
      <c r="B936" s="101"/>
      <c r="D936" s="98"/>
      <c r="E936" s="102"/>
      <c r="F936" s="103"/>
    </row>
    <row r="937" ht="15.75" customHeight="1">
      <c r="B937" s="101"/>
      <c r="D937" s="98"/>
      <c r="E937" s="102"/>
      <c r="F937" s="103"/>
    </row>
    <row r="938" ht="15.75" customHeight="1">
      <c r="B938" s="101"/>
      <c r="D938" s="98"/>
      <c r="E938" s="102"/>
      <c r="F938" s="103"/>
    </row>
    <row r="939" ht="15.75" customHeight="1">
      <c r="B939" s="101"/>
      <c r="D939" s="98"/>
      <c r="E939" s="102"/>
      <c r="F939" s="103"/>
    </row>
    <row r="940" ht="15.75" customHeight="1">
      <c r="B940" s="101"/>
      <c r="D940" s="98"/>
      <c r="E940" s="102"/>
      <c r="F940" s="103"/>
    </row>
    <row r="941" ht="15.75" customHeight="1">
      <c r="B941" s="101"/>
      <c r="D941" s="98"/>
      <c r="E941" s="102"/>
      <c r="F941" s="103"/>
    </row>
    <row r="942" ht="15.75" customHeight="1">
      <c r="B942" s="101"/>
      <c r="D942" s="98"/>
      <c r="E942" s="102"/>
      <c r="F942" s="103"/>
    </row>
    <row r="943" ht="15.75" customHeight="1">
      <c r="B943" s="101"/>
      <c r="D943" s="98"/>
      <c r="E943" s="102"/>
      <c r="F943" s="103"/>
    </row>
    <row r="944" ht="15.75" customHeight="1">
      <c r="B944" s="101"/>
      <c r="D944" s="98"/>
      <c r="E944" s="102"/>
      <c r="F944" s="103"/>
    </row>
    <row r="945" ht="15.75" customHeight="1">
      <c r="B945" s="101"/>
      <c r="D945" s="98"/>
      <c r="E945" s="102"/>
      <c r="F945" s="103"/>
    </row>
    <row r="946" ht="15.75" customHeight="1">
      <c r="B946" s="101"/>
      <c r="D946" s="98"/>
      <c r="E946" s="102"/>
      <c r="F946" s="103"/>
    </row>
    <row r="947" ht="15.75" customHeight="1">
      <c r="B947" s="101"/>
      <c r="D947" s="98"/>
      <c r="E947" s="102"/>
      <c r="F947" s="103"/>
    </row>
    <row r="948" ht="15.75" customHeight="1">
      <c r="B948" s="101"/>
      <c r="D948" s="98"/>
      <c r="E948" s="102"/>
      <c r="F948" s="103"/>
    </row>
    <row r="949" ht="15.75" customHeight="1">
      <c r="B949" s="101"/>
      <c r="D949" s="98"/>
      <c r="E949" s="102"/>
      <c r="F949" s="103"/>
    </row>
    <row r="950" ht="15.75" customHeight="1">
      <c r="B950" s="101"/>
      <c r="D950" s="98"/>
      <c r="E950" s="102"/>
      <c r="F950" s="103"/>
    </row>
    <row r="951" ht="15.75" customHeight="1">
      <c r="B951" s="101"/>
      <c r="D951" s="98"/>
      <c r="E951" s="102"/>
      <c r="F951" s="103"/>
    </row>
    <row r="952" ht="15.75" customHeight="1">
      <c r="B952" s="101"/>
      <c r="D952" s="98"/>
      <c r="E952" s="102"/>
      <c r="F952" s="103"/>
    </row>
    <row r="953" ht="15.75" customHeight="1">
      <c r="B953" s="101"/>
      <c r="D953" s="98"/>
      <c r="E953" s="102"/>
      <c r="F953" s="103"/>
    </row>
    <row r="954" ht="15.75" customHeight="1">
      <c r="B954" s="101"/>
      <c r="D954" s="98"/>
      <c r="E954" s="102"/>
      <c r="F954" s="103"/>
    </row>
    <row r="955" ht="15.75" customHeight="1">
      <c r="B955" s="101"/>
      <c r="D955" s="98"/>
      <c r="E955" s="102"/>
      <c r="F955" s="103"/>
    </row>
    <row r="956" ht="15.75" customHeight="1">
      <c r="B956" s="101"/>
      <c r="D956" s="98"/>
      <c r="E956" s="102"/>
      <c r="F956" s="103"/>
    </row>
    <row r="957" ht="15.75" customHeight="1">
      <c r="B957" s="101"/>
      <c r="D957" s="98"/>
      <c r="E957" s="102"/>
      <c r="F957" s="103"/>
    </row>
    <row r="958" ht="15.75" customHeight="1">
      <c r="B958" s="101"/>
      <c r="D958" s="98"/>
      <c r="E958" s="102"/>
      <c r="F958" s="103"/>
    </row>
    <row r="959" ht="15.75" customHeight="1">
      <c r="B959" s="101"/>
      <c r="D959" s="98"/>
      <c r="E959" s="102"/>
      <c r="F959" s="103"/>
    </row>
    <row r="960" ht="15.75" customHeight="1">
      <c r="B960" s="101"/>
      <c r="D960" s="98"/>
      <c r="E960" s="102"/>
      <c r="F960" s="103"/>
    </row>
    <row r="961" ht="15.75" customHeight="1">
      <c r="B961" s="101"/>
      <c r="D961" s="98"/>
      <c r="E961" s="102"/>
      <c r="F961" s="103"/>
    </row>
    <row r="962" ht="15.75" customHeight="1">
      <c r="B962" s="101"/>
      <c r="D962" s="98"/>
      <c r="E962" s="102"/>
      <c r="F962" s="103"/>
    </row>
    <row r="963" ht="15.75" customHeight="1">
      <c r="B963" s="101"/>
      <c r="D963" s="98"/>
      <c r="E963" s="102"/>
      <c r="F963" s="103"/>
    </row>
    <row r="964" ht="15.75" customHeight="1">
      <c r="B964" s="101"/>
      <c r="D964" s="98"/>
      <c r="E964" s="102"/>
      <c r="F964" s="103"/>
    </row>
    <row r="965" ht="15.75" customHeight="1">
      <c r="B965" s="101"/>
      <c r="D965" s="98"/>
      <c r="E965" s="102"/>
      <c r="F965" s="103"/>
    </row>
    <row r="966" ht="15.75" customHeight="1">
      <c r="B966" s="101"/>
      <c r="D966" s="98"/>
      <c r="E966" s="102"/>
      <c r="F966" s="103"/>
    </row>
    <row r="967" ht="15.75" customHeight="1">
      <c r="B967" s="101"/>
      <c r="D967" s="98"/>
      <c r="E967" s="102"/>
      <c r="F967" s="103"/>
    </row>
    <row r="968" ht="15.75" customHeight="1">
      <c r="B968" s="101"/>
      <c r="D968" s="98"/>
      <c r="E968" s="102"/>
      <c r="F968" s="103"/>
    </row>
    <row r="969" ht="15.75" customHeight="1">
      <c r="B969" s="101"/>
      <c r="D969" s="98"/>
      <c r="E969" s="102"/>
      <c r="F969" s="103"/>
    </row>
    <row r="970" ht="15.75" customHeight="1">
      <c r="B970" s="101"/>
      <c r="D970" s="98"/>
      <c r="E970" s="102"/>
      <c r="F970" s="103"/>
    </row>
    <row r="971" ht="15.75" customHeight="1">
      <c r="B971" s="101"/>
      <c r="D971" s="98"/>
      <c r="E971" s="102"/>
      <c r="F971" s="103"/>
    </row>
    <row r="972" ht="15.75" customHeight="1">
      <c r="B972" s="101"/>
      <c r="D972" s="98"/>
      <c r="E972" s="102"/>
      <c r="F972" s="103"/>
    </row>
    <row r="973" ht="15.75" customHeight="1">
      <c r="B973" s="101"/>
      <c r="D973" s="98"/>
      <c r="E973" s="102"/>
      <c r="F973" s="103"/>
    </row>
    <row r="974" ht="15.75" customHeight="1">
      <c r="B974" s="101"/>
      <c r="D974" s="98"/>
      <c r="E974" s="102"/>
      <c r="F974" s="103"/>
    </row>
    <row r="975" ht="15.75" customHeight="1">
      <c r="B975" s="101"/>
      <c r="D975" s="98"/>
      <c r="E975" s="102"/>
      <c r="F975" s="103"/>
    </row>
    <row r="976" ht="15.75" customHeight="1">
      <c r="B976" s="101"/>
      <c r="D976" s="98"/>
      <c r="E976" s="102"/>
      <c r="F976" s="103"/>
    </row>
    <row r="977" ht="15.75" customHeight="1">
      <c r="B977" s="101"/>
      <c r="D977" s="98"/>
      <c r="E977" s="102"/>
      <c r="F977" s="103"/>
    </row>
    <row r="978" ht="15.75" customHeight="1">
      <c r="B978" s="101"/>
      <c r="D978" s="98"/>
      <c r="E978" s="102"/>
      <c r="F978" s="103"/>
    </row>
    <row r="979" ht="15.75" customHeight="1">
      <c r="B979" s="101"/>
      <c r="D979" s="98"/>
      <c r="E979" s="102"/>
      <c r="F979" s="103"/>
    </row>
    <row r="980" ht="15.75" customHeight="1">
      <c r="B980" s="101"/>
      <c r="D980" s="98"/>
      <c r="E980" s="102"/>
      <c r="F980" s="103"/>
    </row>
    <row r="981" ht="15.75" customHeight="1">
      <c r="B981" s="101"/>
      <c r="D981" s="98"/>
      <c r="E981" s="102"/>
      <c r="F981" s="103"/>
    </row>
    <row r="982" ht="15.75" customHeight="1">
      <c r="B982" s="101"/>
      <c r="D982" s="98"/>
      <c r="E982" s="102"/>
      <c r="F982" s="103"/>
    </row>
    <row r="983" ht="15.75" customHeight="1">
      <c r="B983" s="101"/>
      <c r="D983" s="98"/>
      <c r="E983" s="102"/>
      <c r="F983" s="103"/>
    </row>
    <row r="984" ht="15.75" customHeight="1">
      <c r="B984" s="101"/>
      <c r="D984" s="98"/>
      <c r="E984" s="102"/>
      <c r="F984" s="103"/>
    </row>
    <row r="985" ht="15.75" customHeight="1">
      <c r="B985" s="101"/>
      <c r="D985" s="98"/>
      <c r="E985" s="102"/>
      <c r="F985" s="103"/>
    </row>
    <row r="986" ht="15.75" customHeight="1">
      <c r="B986" s="101"/>
      <c r="D986" s="98"/>
      <c r="E986" s="102"/>
      <c r="F986" s="103"/>
    </row>
    <row r="987" ht="15.75" customHeight="1">
      <c r="B987" s="101"/>
      <c r="D987" s="98"/>
      <c r="E987" s="102"/>
      <c r="F987" s="103"/>
    </row>
    <row r="988" ht="15.75" customHeight="1">
      <c r="B988" s="101"/>
      <c r="D988" s="98"/>
      <c r="E988" s="102"/>
      <c r="F988" s="103"/>
    </row>
    <row r="989" ht="15.75" customHeight="1">
      <c r="B989" s="101"/>
      <c r="D989" s="98"/>
      <c r="E989" s="102"/>
      <c r="F989" s="103"/>
    </row>
    <row r="990" ht="15.75" customHeight="1">
      <c r="B990" s="101"/>
      <c r="D990" s="98"/>
      <c r="E990" s="102"/>
      <c r="F990" s="103"/>
    </row>
    <row r="991" ht="15.75" customHeight="1">
      <c r="B991" s="101"/>
      <c r="D991" s="98"/>
      <c r="E991" s="102"/>
      <c r="F991" s="103"/>
    </row>
    <row r="992" ht="15.75" customHeight="1">
      <c r="B992" s="101"/>
      <c r="D992" s="98"/>
      <c r="E992" s="102"/>
      <c r="F992" s="103"/>
    </row>
    <row r="993" ht="15.75" customHeight="1">
      <c r="B993" s="101"/>
      <c r="D993" s="98"/>
      <c r="E993" s="102"/>
      <c r="F993" s="103"/>
    </row>
    <row r="994" ht="15.75" customHeight="1">
      <c r="B994" s="101"/>
      <c r="D994" s="98"/>
      <c r="E994" s="102"/>
      <c r="F994" s="103"/>
    </row>
    <row r="995" ht="15.75" customHeight="1">
      <c r="B995" s="101"/>
      <c r="D995" s="98"/>
      <c r="E995" s="102"/>
      <c r="F995" s="103"/>
    </row>
    <row r="996" ht="15.75" customHeight="1">
      <c r="B996" s="101"/>
      <c r="D996" s="98"/>
      <c r="E996" s="102"/>
      <c r="F996" s="103"/>
    </row>
    <row r="997" ht="15.75" customHeight="1">
      <c r="B997" s="101"/>
      <c r="D997" s="98"/>
      <c r="E997" s="102"/>
      <c r="F997" s="103"/>
    </row>
    <row r="998" ht="15.75" customHeight="1">
      <c r="B998" s="101"/>
      <c r="D998" s="98"/>
      <c r="E998" s="102"/>
      <c r="F998" s="103"/>
    </row>
    <row r="999" ht="15.75" customHeight="1">
      <c r="B999" s="101"/>
      <c r="D999" s="98"/>
      <c r="E999" s="102"/>
      <c r="F999" s="103"/>
    </row>
    <row r="1000" ht="15.75" customHeight="1">
      <c r="B1000" s="101"/>
      <c r="D1000" s="98"/>
      <c r="E1000" s="102"/>
      <c r="F1000" s="103"/>
    </row>
  </sheetData>
  <mergeCells count="3">
    <mergeCell ref="A1:F2"/>
    <mergeCell ref="A5:A11"/>
    <mergeCell ref="A12:A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9.14"/>
    <col customWidth="1" min="7" max="26" width="9.14"/>
  </cols>
  <sheetData>
    <row r="1">
      <c r="A1" s="5" t="s">
        <v>2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3" t="s">
        <v>8</v>
      </c>
      <c r="B3" s="15" t="s">
        <v>9</v>
      </c>
      <c r="C3" s="15" t="s">
        <v>10</v>
      </c>
      <c r="D3" s="17" t="s">
        <v>11</v>
      </c>
      <c r="E3" s="19" t="s">
        <v>12</v>
      </c>
      <c r="F3" s="27" t="s">
        <v>7</v>
      </c>
    </row>
    <row r="4">
      <c r="A4" s="32">
        <v>46241.0</v>
      </c>
      <c r="B4" s="35"/>
      <c r="C4" s="37"/>
      <c r="D4" s="39"/>
      <c r="E4" s="37">
        <v>11160.0</v>
      </c>
      <c r="F4" s="41">
        <v>72.0</v>
      </c>
    </row>
    <row r="5">
      <c r="A5" s="42">
        <v>46241.0</v>
      </c>
      <c r="B5" s="44" t="s">
        <v>17</v>
      </c>
      <c r="C5" s="46"/>
      <c r="D5" s="48">
        <v>360.0</v>
      </c>
      <c r="E5" s="55">
        <f t="shared" ref="E5:E50" si="1">E4-D5+C5</f>
        <v>10800</v>
      </c>
      <c r="F5" s="59">
        <f>E5/F4</f>
        <v>150</v>
      </c>
    </row>
    <row r="6">
      <c r="A6" s="47">
        <v>46245.0</v>
      </c>
      <c r="B6" s="62" t="s">
        <v>20</v>
      </c>
      <c r="C6" s="63"/>
      <c r="D6" s="48">
        <v>4032.0</v>
      </c>
      <c r="E6" s="55">
        <f t="shared" si="1"/>
        <v>6768</v>
      </c>
      <c r="F6" s="59">
        <f>E6/F4</f>
        <v>94</v>
      </c>
    </row>
    <row r="7">
      <c r="A7" s="65"/>
      <c r="B7" s="53" t="s">
        <v>19</v>
      </c>
      <c r="C7" s="63"/>
      <c r="D7" s="48">
        <v>2160.0</v>
      </c>
      <c r="E7" s="55">
        <f t="shared" si="1"/>
        <v>4608</v>
      </c>
      <c r="F7" s="59">
        <f>E7/F4</f>
        <v>64</v>
      </c>
    </row>
    <row r="8">
      <c r="A8" s="65"/>
      <c r="B8" s="53" t="s">
        <v>24</v>
      </c>
      <c r="C8" s="63"/>
      <c r="D8" s="48">
        <v>360.0</v>
      </c>
      <c r="E8" s="55">
        <f t="shared" si="1"/>
        <v>4248</v>
      </c>
      <c r="F8" s="59">
        <f>E8/F4</f>
        <v>59</v>
      </c>
    </row>
    <row r="9">
      <c r="A9" s="65"/>
      <c r="B9" s="53" t="s">
        <v>26</v>
      </c>
      <c r="C9" s="63"/>
      <c r="D9" s="48">
        <v>144.0</v>
      </c>
      <c r="E9" s="55">
        <f t="shared" si="1"/>
        <v>4104</v>
      </c>
      <c r="F9" s="59">
        <f>E9/F4</f>
        <v>57</v>
      </c>
    </row>
    <row r="10">
      <c r="A10" s="65"/>
      <c r="B10" s="53" t="s">
        <v>27</v>
      </c>
      <c r="C10" s="63"/>
      <c r="D10" s="48">
        <v>72.0</v>
      </c>
      <c r="E10" s="55">
        <f t="shared" si="1"/>
        <v>4032</v>
      </c>
      <c r="F10" s="59">
        <f>E10/F4</f>
        <v>56</v>
      </c>
    </row>
    <row r="11">
      <c r="A11" s="67"/>
      <c r="B11" s="53" t="s">
        <v>28</v>
      </c>
      <c r="C11" s="63"/>
      <c r="D11" s="48">
        <v>144.0</v>
      </c>
      <c r="E11" s="55">
        <f t="shared" si="1"/>
        <v>3888</v>
      </c>
      <c r="F11" s="59">
        <f>E11/F4</f>
        <v>54</v>
      </c>
    </row>
    <row r="12">
      <c r="A12" s="47">
        <v>46246.0</v>
      </c>
      <c r="B12" s="53" t="s">
        <v>30</v>
      </c>
      <c r="C12" s="63"/>
      <c r="D12" s="48">
        <v>144.0</v>
      </c>
      <c r="E12" s="55">
        <f t="shared" si="1"/>
        <v>3744</v>
      </c>
      <c r="F12" s="59">
        <f>E12/F4</f>
        <v>52</v>
      </c>
    </row>
    <row r="13">
      <c r="A13" s="65"/>
      <c r="B13" s="53" t="s">
        <v>33</v>
      </c>
      <c r="C13" s="63"/>
      <c r="D13" s="48">
        <v>72.0</v>
      </c>
      <c r="E13" s="55">
        <f t="shared" si="1"/>
        <v>3672</v>
      </c>
      <c r="F13" s="59">
        <f>E13/F4</f>
        <v>51</v>
      </c>
    </row>
    <row r="14">
      <c r="A14" s="67"/>
      <c r="B14" s="53" t="s">
        <v>34</v>
      </c>
      <c r="C14" s="63"/>
      <c r="D14" s="48">
        <v>72.0</v>
      </c>
      <c r="E14" s="55">
        <f t="shared" si="1"/>
        <v>3600</v>
      </c>
      <c r="F14" s="59">
        <f>E14/F4</f>
        <v>50</v>
      </c>
    </row>
    <row r="15">
      <c r="A15" s="72"/>
      <c r="B15" s="73"/>
      <c r="C15" s="63"/>
      <c r="D15" s="74"/>
      <c r="E15" s="55">
        <f t="shared" si="1"/>
        <v>3600</v>
      </c>
      <c r="F15" s="59">
        <f>E15/F4</f>
        <v>50</v>
      </c>
    </row>
    <row r="16">
      <c r="A16" s="72"/>
      <c r="B16" s="76"/>
      <c r="C16" s="82"/>
      <c r="D16" s="84"/>
      <c r="E16" s="55">
        <f t="shared" si="1"/>
        <v>3600</v>
      </c>
      <c r="F16" s="59">
        <f>E16/F4</f>
        <v>50</v>
      </c>
    </row>
    <row r="17">
      <c r="A17" s="72"/>
      <c r="B17" s="76"/>
      <c r="C17" s="82"/>
      <c r="D17" s="84"/>
      <c r="E17" s="55">
        <f t="shared" si="1"/>
        <v>3600</v>
      </c>
      <c r="F17" s="59">
        <f>E17/F4</f>
        <v>50</v>
      </c>
    </row>
    <row r="18">
      <c r="A18" s="72"/>
      <c r="B18" s="76"/>
      <c r="C18" s="82"/>
      <c r="D18" s="84"/>
      <c r="E18" s="55">
        <f t="shared" si="1"/>
        <v>3600</v>
      </c>
      <c r="F18" s="59">
        <f>E18/F4</f>
        <v>50</v>
      </c>
    </row>
    <row r="19">
      <c r="A19" s="72"/>
      <c r="B19" s="76"/>
      <c r="C19" s="82"/>
      <c r="D19" s="84"/>
      <c r="E19" s="55">
        <f t="shared" si="1"/>
        <v>3600</v>
      </c>
      <c r="F19" s="59">
        <f>E19/F4</f>
        <v>50</v>
      </c>
    </row>
    <row r="20">
      <c r="A20" s="72"/>
      <c r="B20" s="76"/>
      <c r="C20" s="82"/>
      <c r="D20" s="84"/>
      <c r="E20" s="55">
        <f t="shared" si="1"/>
        <v>3600</v>
      </c>
      <c r="F20" s="59">
        <f>E20/F4</f>
        <v>50</v>
      </c>
    </row>
    <row r="21" ht="15.75" customHeight="1">
      <c r="A21" s="72"/>
      <c r="B21" s="76"/>
      <c r="C21" s="82"/>
      <c r="D21" s="84"/>
      <c r="E21" s="55">
        <f t="shared" si="1"/>
        <v>3600</v>
      </c>
      <c r="F21" s="59">
        <f>E21/F4</f>
        <v>50</v>
      </c>
    </row>
    <row r="22" ht="15.75" customHeight="1">
      <c r="A22" s="72"/>
      <c r="B22" s="76"/>
      <c r="C22" s="82"/>
      <c r="D22" s="84"/>
      <c r="E22" s="55">
        <f t="shared" si="1"/>
        <v>3600</v>
      </c>
      <c r="F22" s="59">
        <f>E22/F4</f>
        <v>50</v>
      </c>
    </row>
    <row r="23" ht="15.75" customHeight="1">
      <c r="A23" s="72"/>
      <c r="B23" s="76"/>
      <c r="C23" s="82"/>
      <c r="D23" s="84"/>
      <c r="E23" s="55">
        <f t="shared" si="1"/>
        <v>3600</v>
      </c>
      <c r="F23" s="59">
        <f>E23/F4</f>
        <v>50</v>
      </c>
    </row>
    <row r="24" ht="15.75" customHeight="1">
      <c r="A24" s="72"/>
      <c r="B24" s="76"/>
      <c r="C24" s="82"/>
      <c r="D24" s="84"/>
      <c r="E24" s="55">
        <f t="shared" si="1"/>
        <v>3600</v>
      </c>
      <c r="F24" s="59">
        <f>E24/F4</f>
        <v>50</v>
      </c>
    </row>
    <row r="25" ht="15.75" customHeight="1">
      <c r="A25" s="72"/>
      <c r="B25" s="76"/>
      <c r="C25" s="82"/>
      <c r="D25" s="84"/>
      <c r="E25" s="55">
        <f t="shared" si="1"/>
        <v>3600</v>
      </c>
      <c r="F25" s="59">
        <f>E25/F4</f>
        <v>50</v>
      </c>
    </row>
    <row r="26" ht="15.75" customHeight="1">
      <c r="A26" s="72"/>
      <c r="B26" s="76"/>
      <c r="C26" s="82"/>
      <c r="D26" s="84"/>
      <c r="E26" s="55">
        <f t="shared" si="1"/>
        <v>3600</v>
      </c>
      <c r="F26" s="59">
        <f>E26/F4</f>
        <v>50</v>
      </c>
    </row>
    <row r="27" ht="15.75" customHeight="1">
      <c r="A27" s="72"/>
      <c r="B27" s="76"/>
      <c r="C27" s="82"/>
      <c r="D27" s="84"/>
      <c r="E27" s="55">
        <f t="shared" si="1"/>
        <v>3600</v>
      </c>
      <c r="F27" s="59">
        <f>E26/F4</f>
        <v>50</v>
      </c>
    </row>
    <row r="28" ht="15.75" customHeight="1">
      <c r="A28" s="72"/>
      <c r="B28" s="76"/>
      <c r="C28" s="82"/>
      <c r="D28" s="84"/>
      <c r="E28" s="55">
        <f t="shared" si="1"/>
        <v>3600</v>
      </c>
      <c r="F28" s="59">
        <f>E28/F4</f>
        <v>50</v>
      </c>
    </row>
    <row r="29" ht="15.75" customHeight="1">
      <c r="A29" s="72"/>
      <c r="B29" s="76"/>
      <c r="C29" s="82"/>
      <c r="D29" s="84"/>
      <c r="E29" s="55">
        <f t="shared" si="1"/>
        <v>3600</v>
      </c>
      <c r="F29" s="59">
        <f>E29/F4</f>
        <v>50</v>
      </c>
    </row>
    <row r="30" ht="15.75" customHeight="1">
      <c r="A30" s="72"/>
      <c r="B30" s="92"/>
      <c r="C30" s="90"/>
      <c r="D30" s="93"/>
      <c r="E30" s="55">
        <f t="shared" si="1"/>
        <v>3600</v>
      </c>
      <c r="F30" s="59">
        <f>E30/F4</f>
        <v>50</v>
      </c>
    </row>
    <row r="31" ht="15.75" customHeight="1">
      <c r="A31" s="92"/>
      <c r="B31" s="92"/>
      <c r="C31" s="90"/>
      <c r="D31" s="93"/>
      <c r="E31" s="55">
        <f t="shared" si="1"/>
        <v>3600</v>
      </c>
      <c r="F31" s="59">
        <f>E31/F4</f>
        <v>50</v>
      </c>
    </row>
    <row r="32" ht="15.75" customHeight="1">
      <c r="A32" s="92"/>
      <c r="B32" s="92"/>
      <c r="C32" s="90"/>
      <c r="D32" s="93"/>
      <c r="E32" s="55">
        <f t="shared" si="1"/>
        <v>3600</v>
      </c>
      <c r="F32" s="59">
        <f>E32/F4</f>
        <v>50</v>
      </c>
    </row>
    <row r="33" ht="15.75" customHeight="1">
      <c r="A33" s="92"/>
      <c r="B33" s="92"/>
      <c r="C33" s="90"/>
      <c r="D33" s="93"/>
      <c r="E33" s="55">
        <f t="shared" si="1"/>
        <v>3600</v>
      </c>
      <c r="F33" s="59">
        <f>E33/F4</f>
        <v>50</v>
      </c>
    </row>
    <row r="34" ht="15.75" customHeight="1">
      <c r="A34" s="92"/>
      <c r="B34" s="92"/>
      <c r="C34" s="90"/>
      <c r="D34" s="93"/>
      <c r="E34" s="55">
        <f t="shared" si="1"/>
        <v>3600</v>
      </c>
      <c r="F34" s="59">
        <f>E34/F4</f>
        <v>50</v>
      </c>
    </row>
    <row r="35" ht="15.75" customHeight="1">
      <c r="A35" s="92"/>
      <c r="B35" s="92"/>
      <c r="C35" s="90"/>
      <c r="D35" s="93"/>
      <c r="E35" s="55">
        <f t="shared" si="1"/>
        <v>3600</v>
      </c>
      <c r="F35" s="59">
        <f>E35/F4</f>
        <v>50</v>
      </c>
    </row>
    <row r="36" ht="15.75" customHeight="1">
      <c r="A36" s="92"/>
      <c r="B36" s="92"/>
      <c r="C36" s="90"/>
      <c r="D36" s="93"/>
      <c r="E36" s="55">
        <f t="shared" si="1"/>
        <v>3600</v>
      </c>
      <c r="F36" s="59">
        <f>E36/F4</f>
        <v>50</v>
      </c>
    </row>
    <row r="37" ht="15.75" customHeight="1">
      <c r="A37" s="92"/>
      <c r="B37" s="92"/>
      <c r="C37" s="90"/>
      <c r="D37" s="93"/>
      <c r="E37" s="55">
        <f t="shared" si="1"/>
        <v>3600</v>
      </c>
      <c r="F37" s="59">
        <f>E37/F4</f>
        <v>50</v>
      </c>
    </row>
    <row r="38" ht="15.75" customHeight="1">
      <c r="A38" s="92"/>
      <c r="B38" s="92"/>
      <c r="C38" s="90"/>
      <c r="D38" s="93"/>
      <c r="E38" s="55">
        <f t="shared" si="1"/>
        <v>3600</v>
      </c>
      <c r="F38" s="59">
        <f>E38/F4</f>
        <v>50</v>
      </c>
    </row>
    <row r="39" ht="15.75" customHeight="1">
      <c r="A39" s="92"/>
      <c r="B39" s="92"/>
      <c r="C39" s="90"/>
      <c r="D39" s="93"/>
      <c r="E39" s="55">
        <f t="shared" si="1"/>
        <v>3600</v>
      </c>
      <c r="F39" s="59">
        <f>E39/F4</f>
        <v>50</v>
      </c>
    </row>
    <row r="40" ht="15.75" customHeight="1">
      <c r="A40" s="92"/>
      <c r="B40" s="92"/>
      <c r="C40" s="90"/>
      <c r="D40" s="93"/>
      <c r="E40" s="55">
        <f t="shared" si="1"/>
        <v>3600</v>
      </c>
      <c r="F40" s="59">
        <f>E40/F4</f>
        <v>50</v>
      </c>
    </row>
    <row r="41" ht="15.75" customHeight="1">
      <c r="A41" s="97"/>
      <c r="B41" s="97"/>
      <c r="C41" s="99"/>
      <c r="D41" s="93"/>
      <c r="E41" s="55">
        <f t="shared" si="1"/>
        <v>3600</v>
      </c>
      <c r="F41" s="59">
        <f>E41/F4</f>
        <v>50</v>
      </c>
    </row>
    <row r="42" ht="15.75" customHeight="1">
      <c r="A42" s="97"/>
      <c r="B42" s="97"/>
      <c r="C42" s="99"/>
      <c r="D42" s="93"/>
      <c r="E42" s="55">
        <f t="shared" si="1"/>
        <v>3600</v>
      </c>
      <c r="F42" s="59">
        <f>E42/F4</f>
        <v>50</v>
      </c>
    </row>
    <row r="43" ht="15.75" customHeight="1">
      <c r="A43" s="97"/>
      <c r="B43" s="97"/>
      <c r="C43" s="99"/>
      <c r="D43" s="93"/>
      <c r="E43" s="55">
        <f t="shared" si="1"/>
        <v>3600</v>
      </c>
      <c r="F43" s="59">
        <f>E43/F4</f>
        <v>50</v>
      </c>
    </row>
    <row r="44" ht="15.75" customHeight="1">
      <c r="A44" s="97"/>
      <c r="B44" s="97"/>
      <c r="C44" s="99"/>
      <c r="D44" s="93"/>
      <c r="E44" s="55">
        <f t="shared" si="1"/>
        <v>3600</v>
      </c>
      <c r="F44" s="59">
        <f>E44/F4</f>
        <v>50</v>
      </c>
    </row>
    <row r="45" ht="15.75" customHeight="1">
      <c r="A45" s="97"/>
      <c r="B45" s="97"/>
      <c r="C45" s="99"/>
      <c r="D45" s="93"/>
      <c r="E45" s="55">
        <f t="shared" si="1"/>
        <v>3600</v>
      </c>
      <c r="F45" s="59">
        <f>E45/F4</f>
        <v>50</v>
      </c>
    </row>
    <row r="46" ht="15.75" customHeight="1">
      <c r="A46" s="97"/>
      <c r="B46" s="97"/>
      <c r="C46" s="99"/>
      <c r="D46" s="93"/>
      <c r="E46" s="55">
        <f t="shared" si="1"/>
        <v>3600</v>
      </c>
      <c r="F46" s="59">
        <f>E46/F4</f>
        <v>50</v>
      </c>
    </row>
    <row r="47" ht="15.75" customHeight="1">
      <c r="A47" s="97"/>
      <c r="B47" s="97"/>
      <c r="C47" s="99"/>
      <c r="D47" s="93"/>
      <c r="E47" s="55">
        <f t="shared" si="1"/>
        <v>3600</v>
      </c>
      <c r="F47" s="59">
        <f>E47/F4</f>
        <v>50</v>
      </c>
    </row>
    <row r="48" ht="15.75" customHeight="1">
      <c r="A48" s="97"/>
      <c r="B48" s="97"/>
      <c r="C48" s="99"/>
      <c r="D48" s="93"/>
      <c r="E48" s="55">
        <f t="shared" si="1"/>
        <v>3600</v>
      </c>
      <c r="F48" s="59">
        <f>E48/F4</f>
        <v>50</v>
      </c>
    </row>
    <row r="49" ht="15.75" customHeight="1">
      <c r="A49" s="97"/>
      <c r="B49" s="97"/>
      <c r="C49" s="99"/>
      <c r="D49" s="93"/>
      <c r="E49" s="55">
        <f t="shared" si="1"/>
        <v>3600</v>
      </c>
      <c r="F49" s="59">
        <f>E49/F4</f>
        <v>50</v>
      </c>
    </row>
    <row r="50" ht="15.75" customHeight="1">
      <c r="A50" s="97"/>
      <c r="B50" s="97"/>
      <c r="C50" s="99"/>
      <c r="D50" s="93"/>
      <c r="E50" s="55">
        <f t="shared" si="1"/>
        <v>3600</v>
      </c>
      <c r="F50" s="59">
        <f>E50/F4</f>
        <v>50</v>
      </c>
    </row>
    <row r="51" ht="15.75" customHeight="1">
      <c r="A51" s="101"/>
      <c r="B51" s="101"/>
      <c r="D51" s="104"/>
      <c r="F51" s="105"/>
    </row>
    <row r="52" ht="15.75" customHeight="1">
      <c r="A52" s="101"/>
      <c r="B52" s="101"/>
      <c r="D52" s="104"/>
      <c r="F52" s="105"/>
    </row>
    <row r="53" ht="15.75" customHeight="1">
      <c r="A53" s="101"/>
      <c r="B53" s="101"/>
      <c r="D53" s="104"/>
      <c r="F53" s="105"/>
    </row>
    <row r="54" ht="15.75" customHeight="1">
      <c r="A54" s="101"/>
      <c r="B54" s="101"/>
      <c r="D54" s="104"/>
      <c r="F54" s="105"/>
    </row>
    <row r="55" ht="15.75" customHeight="1">
      <c r="A55" s="101"/>
      <c r="B55" s="101"/>
      <c r="D55" s="104"/>
      <c r="F55" s="105"/>
    </row>
    <row r="56" ht="15.75" customHeight="1">
      <c r="A56" s="101"/>
      <c r="B56" s="101"/>
      <c r="D56" s="104"/>
      <c r="F56" s="105"/>
    </row>
    <row r="57" ht="15.75" customHeight="1">
      <c r="A57" s="101"/>
      <c r="B57" s="101"/>
      <c r="D57" s="104"/>
      <c r="F57" s="105"/>
    </row>
    <row r="58" ht="15.75" customHeight="1">
      <c r="A58" s="101"/>
      <c r="B58" s="101"/>
      <c r="D58" s="104"/>
      <c r="F58" s="105"/>
    </row>
    <row r="59" ht="15.75" customHeight="1">
      <c r="A59" s="101"/>
      <c r="B59" s="101"/>
      <c r="D59" s="104"/>
      <c r="F59" s="105"/>
    </row>
    <row r="60" ht="15.75" customHeight="1">
      <c r="A60" s="101"/>
      <c r="B60" s="101"/>
      <c r="D60" s="104"/>
      <c r="F60" s="105"/>
    </row>
    <row r="61" ht="15.75" customHeight="1">
      <c r="A61" s="101"/>
      <c r="B61" s="101"/>
      <c r="D61" s="104"/>
      <c r="F61" s="105"/>
    </row>
    <row r="62" ht="15.75" customHeight="1">
      <c r="A62" s="101"/>
      <c r="B62" s="101"/>
      <c r="D62" s="104"/>
      <c r="F62" s="105"/>
    </row>
    <row r="63" ht="15.75" customHeight="1">
      <c r="A63" s="101"/>
      <c r="B63" s="101"/>
      <c r="D63" s="104"/>
      <c r="F63" s="105"/>
    </row>
    <row r="64" ht="15.75" customHeight="1">
      <c r="A64" s="101"/>
      <c r="B64" s="101"/>
      <c r="D64" s="104"/>
      <c r="F64" s="105"/>
    </row>
    <row r="65" ht="15.75" customHeight="1">
      <c r="A65" s="101"/>
      <c r="B65" s="101"/>
      <c r="D65" s="104"/>
      <c r="F65" s="105"/>
    </row>
    <row r="66" ht="15.75" customHeight="1">
      <c r="A66" s="101"/>
      <c r="B66" s="101"/>
      <c r="D66" s="104"/>
      <c r="F66" s="105"/>
    </row>
    <row r="67" ht="15.75" customHeight="1">
      <c r="A67" s="101"/>
      <c r="B67" s="101"/>
      <c r="D67" s="104"/>
      <c r="F67" s="105"/>
    </row>
    <row r="68" ht="15.75" customHeight="1">
      <c r="A68" s="101"/>
      <c r="B68" s="101"/>
      <c r="D68" s="104"/>
      <c r="F68" s="105"/>
    </row>
    <row r="69" ht="15.75" customHeight="1">
      <c r="A69" s="101"/>
      <c r="B69" s="101"/>
      <c r="D69" s="104"/>
      <c r="F69" s="105"/>
    </row>
    <row r="70" ht="15.75" customHeight="1">
      <c r="A70" s="101"/>
      <c r="B70" s="101"/>
      <c r="D70" s="104"/>
      <c r="F70" s="105"/>
    </row>
    <row r="71" ht="15.75" customHeight="1">
      <c r="A71" s="101"/>
      <c r="B71" s="101"/>
      <c r="D71" s="104"/>
      <c r="F71" s="105"/>
    </row>
    <row r="72" ht="15.75" customHeight="1">
      <c r="A72" s="101"/>
      <c r="B72" s="101"/>
      <c r="D72" s="104"/>
      <c r="F72" s="105"/>
    </row>
    <row r="73" ht="15.75" customHeight="1">
      <c r="A73" s="101"/>
      <c r="B73" s="101"/>
      <c r="D73" s="104"/>
      <c r="F73" s="105"/>
    </row>
    <row r="74" ht="15.75" customHeight="1">
      <c r="A74" s="101"/>
      <c r="B74" s="101"/>
      <c r="D74" s="104"/>
      <c r="F74" s="105"/>
    </row>
    <row r="75" ht="15.75" customHeight="1">
      <c r="A75" s="101"/>
      <c r="B75" s="101"/>
      <c r="D75" s="104"/>
      <c r="F75" s="105"/>
    </row>
    <row r="76" ht="15.75" customHeight="1">
      <c r="A76" s="101"/>
      <c r="B76" s="101"/>
      <c r="D76" s="104"/>
      <c r="F76" s="105"/>
    </row>
    <row r="77" ht="15.75" customHeight="1">
      <c r="A77" s="101"/>
      <c r="B77" s="101"/>
      <c r="D77" s="104"/>
      <c r="F77" s="105"/>
    </row>
    <row r="78" ht="15.75" customHeight="1">
      <c r="A78" s="101"/>
      <c r="B78" s="101"/>
      <c r="D78" s="104"/>
      <c r="F78" s="105"/>
    </row>
    <row r="79" ht="15.75" customHeight="1">
      <c r="A79" s="101"/>
      <c r="B79" s="101"/>
      <c r="D79" s="104"/>
      <c r="F79" s="105"/>
    </row>
    <row r="80" ht="15.75" customHeight="1">
      <c r="A80" s="101"/>
      <c r="B80" s="101"/>
      <c r="D80" s="104"/>
      <c r="F80" s="105"/>
    </row>
    <row r="81" ht="15.75" customHeight="1">
      <c r="A81" s="101"/>
      <c r="B81" s="101"/>
      <c r="D81" s="104"/>
      <c r="F81" s="105"/>
    </row>
    <row r="82" ht="15.75" customHeight="1">
      <c r="A82" s="101"/>
      <c r="B82" s="101"/>
      <c r="D82" s="104"/>
      <c r="F82" s="105"/>
    </row>
    <row r="83" ht="15.75" customHeight="1">
      <c r="A83" s="101"/>
      <c r="B83" s="101"/>
      <c r="D83" s="104"/>
      <c r="F83" s="105"/>
    </row>
    <row r="84" ht="15.75" customHeight="1">
      <c r="A84" s="101"/>
      <c r="B84" s="101"/>
      <c r="D84" s="104"/>
      <c r="F84" s="105"/>
    </row>
    <row r="85" ht="15.75" customHeight="1">
      <c r="A85" s="101"/>
      <c r="B85" s="101"/>
      <c r="D85" s="104"/>
      <c r="F85" s="105"/>
    </row>
    <row r="86" ht="15.75" customHeight="1">
      <c r="A86" s="101"/>
      <c r="B86" s="101"/>
      <c r="D86" s="104"/>
      <c r="F86" s="105"/>
    </row>
    <row r="87" ht="15.75" customHeight="1">
      <c r="A87" s="101"/>
      <c r="B87" s="101"/>
      <c r="D87" s="104"/>
      <c r="F87" s="105"/>
    </row>
    <row r="88" ht="15.75" customHeight="1">
      <c r="A88" s="101"/>
      <c r="B88" s="101"/>
      <c r="D88" s="104"/>
      <c r="F88" s="105"/>
    </row>
    <row r="89" ht="15.75" customHeight="1">
      <c r="A89" s="101"/>
      <c r="B89" s="101"/>
      <c r="D89" s="104"/>
      <c r="F89" s="105"/>
    </row>
    <row r="90" ht="15.75" customHeight="1">
      <c r="A90" s="101"/>
      <c r="B90" s="101"/>
      <c r="D90" s="104"/>
      <c r="F90" s="105"/>
    </row>
    <row r="91" ht="15.75" customHeight="1">
      <c r="A91" s="101"/>
      <c r="B91" s="101"/>
      <c r="D91" s="104"/>
      <c r="F91" s="105"/>
    </row>
    <row r="92" ht="15.75" customHeight="1">
      <c r="A92" s="101"/>
      <c r="B92" s="101"/>
      <c r="D92" s="104"/>
      <c r="F92" s="105"/>
    </row>
    <row r="93" ht="15.75" customHeight="1">
      <c r="A93" s="101"/>
      <c r="B93" s="101"/>
      <c r="D93" s="104"/>
      <c r="F93" s="105"/>
    </row>
    <row r="94" ht="15.75" customHeight="1">
      <c r="A94" s="101"/>
      <c r="B94" s="101"/>
      <c r="D94" s="104"/>
      <c r="F94" s="105"/>
    </row>
    <row r="95" ht="15.75" customHeight="1">
      <c r="A95" s="101"/>
      <c r="B95" s="101"/>
      <c r="D95" s="104"/>
      <c r="F95" s="105"/>
    </row>
    <row r="96" ht="15.75" customHeight="1">
      <c r="A96" s="101"/>
      <c r="B96" s="101"/>
      <c r="D96" s="104"/>
      <c r="F96" s="105"/>
    </row>
    <row r="97" ht="15.75" customHeight="1">
      <c r="A97" s="101"/>
      <c r="B97" s="101"/>
      <c r="D97" s="104"/>
      <c r="F97" s="105"/>
    </row>
    <row r="98" ht="15.75" customHeight="1">
      <c r="A98" s="101"/>
      <c r="B98" s="101"/>
      <c r="D98" s="104"/>
      <c r="F98" s="105"/>
    </row>
    <row r="99" ht="15.75" customHeight="1">
      <c r="A99" s="101"/>
      <c r="B99" s="101"/>
      <c r="D99" s="104"/>
      <c r="F99" s="105"/>
    </row>
    <row r="100" ht="15.75" customHeight="1">
      <c r="A100" s="101"/>
      <c r="B100" s="101"/>
      <c r="D100" s="104"/>
      <c r="F100" s="105"/>
    </row>
    <row r="101" ht="15.75" customHeight="1">
      <c r="A101" s="101"/>
      <c r="B101" s="101"/>
      <c r="D101" s="104"/>
      <c r="F101" s="105"/>
    </row>
    <row r="102" ht="15.75" customHeight="1">
      <c r="A102" s="101"/>
      <c r="B102" s="101"/>
      <c r="D102" s="104"/>
      <c r="F102" s="105"/>
    </row>
    <row r="103" ht="15.75" customHeight="1">
      <c r="A103" s="101"/>
      <c r="B103" s="101"/>
      <c r="D103" s="104"/>
      <c r="F103" s="105"/>
    </row>
    <row r="104" ht="15.75" customHeight="1">
      <c r="A104" s="101"/>
      <c r="B104" s="101"/>
      <c r="D104" s="104"/>
      <c r="F104" s="105"/>
    </row>
    <row r="105" ht="15.75" customHeight="1">
      <c r="A105" s="101"/>
      <c r="B105" s="101"/>
      <c r="D105" s="104"/>
      <c r="F105" s="105"/>
    </row>
    <row r="106" ht="15.75" customHeight="1">
      <c r="A106" s="101"/>
      <c r="B106" s="101"/>
      <c r="D106" s="104"/>
      <c r="F106" s="105"/>
    </row>
    <row r="107" ht="15.75" customHeight="1">
      <c r="A107" s="101"/>
      <c r="B107" s="101"/>
      <c r="D107" s="104"/>
      <c r="F107" s="105"/>
    </row>
    <row r="108" ht="15.75" customHeight="1">
      <c r="A108" s="101"/>
      <c r="B108" s="101"/>
      <c r="D108" s="104"/>
      <c r="F108" s="105"/>
    </row>
    <row r="109" ht="15.75" customHeight="1">
      <c r="A109" s="101"/>
      <c r="B109" s="101"/>
      <c r="D109" s="104"/>
      <c r="F109" s="105"/>
    </row>
    <row r="110" ht="15.75" customHeight="1">
      <c r="A110" s="101"/>
      <c r="B110" s="101"/>
      <c r="D110" s="104"/>
      <c r="F110" s="105"/>
    </row>
    <row r="111" ht="15.75" customHeight="1">
      <c r="A111" s="101"/>
      <c r="B111" s="101"/>
      <c r="D111" s="104"/>
      <c r="F111" s="105"/>
    </row>
    <row r="112" ht="15.75" customHeight="1">
      <c r="A112" s="101"/>
      <c r="B112" s="101"/>
      <c r="D112" s="104"/>
      <c r="F112" s="105"/>
    </row>
    <row r="113" ht="15.75" customHeight="1">
      <c r="A113" s="101"/>
      <c r="B113" s="101"/>
      <c r="D113" s="104"/>
      <c r="F113" s="105"/>
    </row>
    <row r="114" ht="15.75" customHeight="1">
      <c r="A114" s="101"/>
      <c r="B114" s="101"/>
      <c r="D114" s="104"/>
      <c r="F114" s="105"/>
    </row>
    <row r="115" ht="15.75" customHeight="1">
      <c r="A115" s="101"/>
      <c r="B115" s="101"/>
      <c r="D115" s="104"/>
      <c r="F115" s="105"/>
    </row>
    <row r="116" ht="15.75" customHeight="1">
      <c r="A116" s="101"/>
      <c r="B116" s="101"/>
      <c r="D116" s="104"/>
      <c r="F116" s="105"/>
    </row>
    <row r="117" ht="15.75" customHeight="1">
      <c r="A117" s="101"/>
      <c r="B117" s="101"/>
      <c r="D117" s="104"/>
      <c r="F117" s="105"/>
    </row>
    <row r="118" ht="15.75" customHeight="1">
      <c r="A118" s="101"/>
      <c r="B118" s="101"/>
      <c r="D118" s="104"/>
      <c r="F118" s="105"/>
    </row>
    <row r="119" ht="15.75" customHeight="1">
      <c r="A119" s="101"/>
      <c r="B119" s="101"/>
      <c r="D119" s="104"/>
      <c r="F119" s="105"/>
    </row>
    <row r="120" ht="15.75" customHeight="1">
      <c r="A120" s="101"/>
      <c r="B120" s="101"/>
      <c r="D120" s="104"/>
      <c r="F120" s="105"/>
    </row>
    <row r="121" ht="15.75" customHeight="1">
      <c r="A121" s="101"/>
      <c r="B121" s="101"/>
      <c r="D121" s="104"/>
      <c r="F121" s="105"/>
    </row>
    <row r="122" ht="15.75" customHeight="1">
      <c r="A122" s="101"/>
      <c r="B122" s="101"/>
      <c r="D122" s="104"/>
      <c r="F122" s="105"/>
    </row>
    <row r="123" ht="15.75" customHeight="1">
      <c r="A123" s="101"/>
      <c r="B123" s="101"/>
      <c r="D123" s="104"/>
      <c r="F123" s="105"/>
    </row>
    <row r="124" ht="15.75" customHeight="1">
      <c r="A124" s="101"/>
      <c r="B124" s="101"/>
      <c r="D124" s="104"/>
      <c r="F124" s="105"/>
    </row>
    <row r="125" ht="15.75" customHeight="1">
      <c r="A125" s="101"/>
      <c r="B125" s="101"/>
      <c r="D125" s="104"/>
      <c r="F125" s="105"/>
    </row>
    <row r="126" ht="15.75" customHeight="1">
      <c r="A126" s="101"/>
      <c r="B126" s="101"/>
      <c r="D126" s="104"/>
      <c r="F126" s="105"/>
    </row>
    <row r="127" ht="15.75" customHeight="1">
      <c r="A127" s="101"/>
      <c r="B127" s="101"/>
      <c r="D127" s="104"/>
      <c r="F127" s="105"/>
    </row>
    <row r="128" ht="15.75" customHeight="1">
      <c r="A128" s="101"/>
      <c r="B128" s="101"/>
      <c r="D128" s="104"/>
      <c r="F128" s="105"/>
    </row>
    <row r="129" ht="15.75" customHeight="1">
      <c r="A129" s="101"/>
      <c r="B129" s="101"/>
      <c r="D129" s="104"/>
      <c r="F129" s="105"/>
    </row>
    <row r="130" ht="15.75" customHeight="1">
      <c r="A130" s="101"/>
      <c r="B130" s="101"/>
      <c r="D130" s="104"/>
      <c r="F130" s="105"/>
    </row>
    <row r="131" ht="15.75" customHeight="1">
      <c r="A131" s="101"/>
      <c r="B131" s="101"/>
      <c r="D131" s="104"/>
      <c r="F131" s="105"/>
    </row>
    <row r="132" ht="15.75" customHeight="1">
      <c r="A132" s="101"/>
      <c r="B132" s="101"/>
      <c r="D132" s="104"/>
      <c r="F132" s="105"/>
    </row>
    <row r="133" ht="15.75" customHeight="1">
      <c r="A133" s="101"/>
      <c r="B133" s="101"/>
      <c r="D133" s="104"/>
      <c r="F133" s="105"/>
    </row>
    <row r="134" ht="15.75" customHeight="1">
      <c r="A134" s="101"/>
      <c r="B134" s="101"/>
      <c r="D134" s="104"/>
      <c r="F134" s="105"/>
    </row>
    <row r="135" ht="15.75" customHeight="1">
      <c r="A135" s="101"/>
      <c r="B135" s="101"/>
      <c r="D135" s="104"/>
      <c r="F135" s="105"/>
    </row>
    <row r="136" ht="15.75" customHeight="1">
      <c r="A136" s="101"/>
      <c r="B136" s="101"/>
      <c r="D136" s="104"/>
      <c r="F136" s="105"/>
    </row>
    <row r="137" ht="15.75" customHeight="1">
      <c r="A137" s="101"/>
      <c r="B137" s="101"/>
      <c r="D137" s="104"/>
      <c r="F137" s="105"/>
    </row>
    <row r="138" ht="15.75" customHeight="1">
      <c r="A138" s="101"/>
      <c r="B138" s="101"/>
      <c r="D138" s="104"/>
      <c r="F138" s="105"/>
    </row>
    <row r="139" ht="15.75" customHeight="1">
      <c r="A139" s="101"/>
      <c r="B139" s="101"/>
      <c r="D139" s="104"/>
      <c r="F139" s="105"/>
    </row>
    <row r="140" ht="15.75" customHeight="1">
      <c r="A140" s="101"/>
      <c r="B140" s="101"/>
      <c r="D140" s="104"/>
      <c r="F140" s="105"/>
    </row>
    <row r="141" ht="15.75" customHeight="1">
      <c r="A141" s="101"/>
      <c r="B141" s="101"/>
      <c r="D141" s="104"/>
      <c r="F141" s="105"/>
    </row>
    <row r="142" ht="15.75" customHeight="1">
      <c r="A142" s="101"/>
      <c r="B142" s="101"/>
      <c r="D142" s="104"/>
      <c r="F142" s="105"/>
    </row>
    <row r="143" ht="15.75" customHeight="1">
      <c r="A143" s="101"/>
      <c r="B143" s="101"/>
      <c r="D143" s="104"/>
      <c r="F143" s="105"/>
    </row>
    <row r="144" ht="15.75" customHeight="1">
      <c r="A144" s="101"/>
      <c r="B144" s="101"/>
      <c r="D144" s="104"/>
      <c r="F144" s="105"/>
    </row>
    <row r="145" ht="15.75" customHeight="1">
      <c r="A145" s="101"/>
      <c r="B145" s="101"/>
      <c r="D145" s="104"/>
      <c r="F145" s="105"/>
    </row>
    <row r="146" ht="15.75" customHeight="1">
      <c r="A146" s="101"/>
      <c r="B146" s="101"/>
      <c r="D146" s="104"/>
      <c r="F146" s="105"/>
    </row>
    <row r="147" ht="15.75" customHeight="1">
      <c r="A147" s="101"/>
      <c r="B147" s="101"/>
      <c r="D147" s="104"/>
      <c r="F147" s="105"/>
    </row>
    <row r="148" ht="15.75" customHeight="1">
      <c r="A148" s="101"/>
      <c r="B148" s="101"/>
      <c r="D148" s="104"/>
      <c r="F148" s="105"/>
    </row>
    <row r="149" ht="15.75" customHeight="1">
      <c r="A149" s="101"/>
      <c r="B149" s="101"/>
      <c r="D149" s="104"/>
      <c r="F149" s="105"/>
    </row>
    <row r="150" ht="15.75" customHeight="1">
      <c r="A150" s="101"/>
      <c r="B150" s="101"/>
      <c r="D150" s="104"/>
      <c r="F150" s="105"/>
    </row>
    <row r="151" ht="15.75" customHeight="1">
      <c r="A151" s="101"/>
      <c r="B151" s="101"/>
      <c r="D151" s="104"/>
      <c r="F151" s="105"/>
    </row>
    <row r="152" ht="15.75" customHeight="1">
      <c r="A152" s="101"/>
      <c r="B152" s="101"/>
      <c r="D152" s="104"/>
      <c r="F152" s="105"/>
    </row>
    <row r="153" ht="15.75" customHeight="1">
      <c r="A153" s="101"/>
      <c r="B153" s="101"/>
      <c r="D153" s="104"/>
      <c r="F153" s="105"/>
    </row>
    <row r="154" ht="15.75" customHeight="1">
      <c r="A154" s="101"/>
      <c r="B154" s="101"/>
      <c r="D154" s="104"/>
      <c r="F154" s="105"/>
    </row>
    <row r="155" ht="15.75" customHeight="1">
      <c r="A155" s="101"/>
      <c r="B155" s="101"/>
      <c r="D155" s="104"/>
      <c r="F155" s="105"/>
    </row>
    <row r="156" ht="15.75" customHeight="1">
      <c r="A156" s="101"/>
      <c r="B156" s="101"/>
      <c r="D156" s="104"/>
      <c r="F156" s="105"/>
    </row>
    <row r="157" ht="15.75" customHeight="1">
      <c r="A157" s="101"/>
      <c r="B157" s="101"/>
      <c r="D157" s="104"/>
      <c r="F157" s="105"/>
    </row>
    <row r="158" ht="15.75" customHeight="1">
      <c r="A158" s="101"/>
      <c r="B158" s="101"/>
      <c r="D158" s="104"/>
      <c r="F158" s="105"/>
    </row>
    <row r="159" ht="15.75" customHeight="1">
      <c r="A159" s="101"/>
      <c r="B159" s="101"/>
      <c r="D159" s="104"/>
      <c r="F159" s="105"/>
    </row>
    <row r="160" ht="15.75" customHeight="1">
      <c r="A160" s="101"/>
      <c r="B160" s="101"/>
      <c r="D160" s="104"/>
      <c r="F160" s="105"/>
    </row>
    <row r="161" ht="15.75" customHeight="1">
      <c r="A161" s="101"/>
      <c r="B161" s="101"/>
      <c r="D161" s="104"/>
      <c r="F161" s="105"/>
    </row>
    <row r="162" ht="15.75" customHeight="1">
      <c r="A162" s="101"/>
      <c r="B162" s="101"/>
      <c r="D162" s="104"/>
      <c r="F162" s="105"/>
    </row>
    <row r="163" ht="15.75" customHeight="1">
      <c r="A163" s="101"/>
      <c r="B163" s="101"/>
      <c r="D163" s="104"/>
      <c r="F163" s="105"/>
    </row>
    <row r="164" ht="15.75" customHeight="1">
      <c r="A164" s="101"/>
      <c r="B164" s="101"/>
      <c r="D164" s="104"/>
      <c r="F164" s="105"/>
    </row>
    <row r="165" ht="15.75" customHeight="1">
      <c r="A165" s="101"/>
      <c r="B165" s="101"/>
      <c r="D165" s="104"/>
      <c r="F165" s="105"/>
    </row>
    <row r="166" ht="15.75" customHeight="1">
      <c r="A166" s="101"/>
      <c r="B166" s="101"/>
      <c r="D166" s="104"/>
      <c r="F166" s="105"/>
    </row>
    <row r="167" ht="15.75" customHeight="1">
      <c r="A167" s="101"/>
      <c r="B167" s="101"/>
      <c r="D167" s="104"/>
      <c r="F167" s="105"/>
    </row>
    <row r="168" ht="15.75" customHeight="1">
      <c r="A168" s="101"/>
      <c r="B168" s="101"/>
      <c r="D168" s="104"/>
      <c r="F168" s="105"/>
    </row>
    <row r="169" ht="15.75" customHeight="1">
      <c r="A169" s="101"/>
      <c r="B169" s="101"/>
      <c r="D169" s="104"/>
      <c r="F169" s="105"/>
    </row>
    <row r="170" ht="15.75" customHeight="1">
      <c r="A170" s="101"/>
      <c r="B170" s="101"/>
      <c r="D170" s="104"/>
      <c r="F170" s="105"/>
    </row>
    <row r="171" ht="15.75" customHeight="1">
      <c r="A171" s="101"/>
      <c r="B171" s="101"/>
      <c r="D171" s="104"/>
      <c r="F171" s="105"/>
    </row>
    <row r="172" ht="15.75" customHeight="1">
      <c r="A172" s="101"/>
      <c r="B172" s="101"/>
      <c r="D172" s="104"/>
      <c r="F172" s="105"/>
    </row>
    <row r="173" ht="15.75" customHeight="1">
      <c r="A173" s="101"/>
      <c r="B173" s="101"/>
      <c r="D173" s="104"/>
      <c r="F173" s="105"/>
    </row>
    <row r="174" ht="15.75" customHeight="1">
      <c r="A174" s="101"/>
      <c r="B174" s="101"/>
      <c r="D174" s="104"/>
      <c r="F174" s="105"/>
    </row>
    <row r="175" ht="15.75" customHeight="1">
      <c r="A175" s="101"/>
      <c r="B175" s="101"/>
      <c r="D175" s="104"/>
      <c r="F175" s="105"/>
    </row>
    <row r="176" ht="15.75" customHeight="1">
      <c r="A176" s="101"/>
      <c r="B176" s="101"/>
      <c r="D176" s="104"/>
      <c r="F176" s="105"/>
    </row>
    <row r="177" ht="15.75" customHeight="1">
      <c r="A177" s="101"/>
      <c r="B177" s="101"/>
      <c r="D177" s="104"/>
      <c r="F177" s="105"/>
    </row>
    <row r="178" ht="15.75" customHeight="1">
      <c r="A178" s="101"/>
      <c r="B178" s="101"/>
      <c r="D178" s="104"/>
      <c r="F178" s="105"/>
    </row>
    <row r="179" ht="15.75" customHeight="1">
      <c r="A179" s="101"/>
      <c r="B179" s="101"/>
      <c r="D179" s="104"/>
      <c r="F179" s="105"/>
    </row>
    <row r="180" ht="15.75" customHeight="1">
      <c r="A180" s="101"/>
      <c r="B180" s="101"/>
      <c r="D180" s="104"/>
      <c r="F180" s="105"/>
    </row>
    <row r="181" ht="15.75" customHeight="1">
      <c r="A181" s="101"/>
      <c r="B181" s="101"/>
      <c r="D181" s="104"/>
      <c r="F181" s="105"/>
    </row>
    <row r="182" ht="15.75" customHeight="1">
      <c r="A182" s="101"/>
      <c r="B182" s="101"/>
      <c r="D182" s="104"/>
      <c r="F182" s="105"/>
    </row>
    <row r="183" ht="15.75" customHeight="1">
      <c r="A183" s="101"/>
      <c r="B183" s="101"/>
      <c r="D183" s="104"/>
      <c r="F183" s="105"/>
    </row>
    <row r="184" ht="15.75" customHeight="1">
      <c r="A184" s="101"/>
      <c r="B184" s="101"/>
      <c r="D184" s="104"/>
      <c r="F184" s="105"/>
    </row>
    <row r="185" ht="15.75" customHeight="1">
      <c r="A185" s="101"/>
      <c r="B185" s="101"/>
      <c r="D185" s="104"/>
      <c r="F185" s="105"/>
    </row>
    <row r="186" ht="15.75" customHeight="1">
      <c r="A186" s="101"/>
      <c r="B186" s="101"/>
      <c r="D186" s="104"/>
      <c r="F186" s="105"/>
    </row>
    <row r="187" ht="15.75" customHeight="1">
      <c r="A187" s="101"/>
      <c r="B187" s="101"/>
      <c r="D187" s="104"/>
      <c r="F187" s="105"/>
    </row>
    <row r="188" ht="15.75" customHeight="1">
      <c r="A188" s="101"/>
      <c r="B188" s="101"/>
      <c r="D188" s="104"/>
      <c r="F188" s="105"/>
    </row>
    <row r="189" ht="15.75" customHeight="1">
      <c r="A189" s="101"/>
      <c r="B189" s="101"/>
      <c r="D189" s="104"/>
      <c r="F189" s="105"/>
    </row>
    <row r="190" ht="15.75" customHeight="1">
      <c r="A190" s="101"/>
      <c r="B190" s="101"/>
      <c r="D190" s="104"/>
      <c r="F190" s="105"/>
    </row>
    <row r="191" ht="15.75" customHeight="1">
      <c r="A191" s="101"/>
      <c r="B191" s="101"/>
      <c r="D191" s="104"/>
      <c r="F191" s="105"/>
    </row>
    <row r="192" ht="15.75" customHeight="1">
      <c r="A192" s="101"/>
      <c r="B192" s="101"/>
      <c r="D192" s="104"/>
      <c r="F192" s="105"/>
    </row>
    <row r="193" ht="15.75" customHeight="1">
      <c r="A193" s="101"/>
      <c r="B193" s="101"/>
      <c r="D193" s="104"/>
      <c r="F193" s="105"/>
    </row>
    <row r="194" ht="15.75" customHeight="1">
      <c r="A194" s="101"/>
      <c r="B194" s="101"/>
      <c r="D194" s="104"/>
      <c r="F194" s="105"/>
    </row>
    <row r="195" ht="15.75" customHeight="1">
      <c r="A195" s="101"/>
      <c r="B195" s="101"/>
      <c r="D195" s="104"/>
      <c r="F195" s="105"/>
    </row>
    <row r="196" ht="15.75" customHeight="1">
      <c r="A196" s="101"/>
      <c r="B196" s="101"/>
      <c r="D196" s="104"/>
      <c r="F196" s="105"/>
    </row>
    <row r="197" ht="15.75" customHeight="1">
      <c r="A197" s="101"/>
      <c r="B197" s="101"/>
      <c r="D197" s="104"/>
      <c r="F197" s="105"/>
    </row>
    <row r="198" ht="15.75" customHeight="1">
      <c r="A198" s="101"/>
      <c r="B198" s="101"/>
      <c r="D198" s="104"/>
      <c r="F198" s="105"/>
    </row>
    <row r="199" ht="15.75" customHeight="1">
      <c r="A199" s="101"/>
      <c r="B199" s="101"/>
      <c r="D199" s="104"/>
      <c r="F199" s="105"/>
    </row>
    <row r="200" ht="15.75" customHeight="1">
      <c r="A200" s="101"/>
      <c r="B200" s="101"/>
      <c r="D200" s="104"/>
      <c r="F200" s="105"/>
    </row>
    <row r="201" ht="15.75" customHeight="1">
      <c r="A201" s="101"/>
      <c r="B201" s="101"/>
      <c r="D201" s="104"/>
      <c r="F201" s="105"/>
    </row>
    <row r="202" ht="15.75" customHeight="1">
      <c r="A202" s="101"/>
      <c r="B202" s="101"/>
      <c r="D202" s="104"/>
      <c r="F202" s="105"/>
    </row>
    <row r="203" ht="15.75" customHeight="1">
      <c r="A203" s="101"/>
      <c r="B203" s="101"/>
      <c r="D203" s="104"/>
      <c r="F203" s="105"/>
    </row>
    <row r="204" ht="15.75" customHeight="1">
      <c r="A204" s="101"/>
      <c r="B204" s="101"/>
      <c r="D204" s="104"/>
      <c r="F204" s="105"/>
    </row>
    <row r="205" ht="15.75" customHeight="1">
      <c r="A205" s="101"/>
      <c r="B205" s="101"/>
      <c r="D205" s="104"/>
      <c r="F205" s="105"/>
    </row>
    <row r="206" ht="15.75" customHeight="1">
      <c r="A206" s="101"/>
      <c r="B206" s="101"/>
      <c r="D206" s="104"/>
      <c r="F206" s="105"/>
    </row>
    <row r="207" ht="15.75" customHeight="1">
      <c r="A207" s="101"/>
      <c r="B207" s="101"/>
      <c r="D207" s="104"/>
      <c r="F207" s="105"/>
    </row>
    <row r="208" ht="15.75" customHeight="1">
      <c r="A208" s="101"/>
      <c r="B208" s="101"/>
      <c r="D208" s="104"/>
      <c r="F208" s="105"/>
    </row>
    <row r="209" ht="15.75" customHeight="1">
      <c r="A209" s="101"/>
      <c r="B209" s="101"/>
      <c r="D209" s="104"/>
      <c r="F209" s="105"/>
    </row>
    <row r="210" ht="15.75" customHeight="1">
      <c r="A210" s="101"/>
      <c r="B210" s="101"/>
      <c r="D210" s="104"/>
      <c r="F210" s="105"/>
    </row>
    <row r="211" ht="15.75" customHeight="1">
      <c r="A211" s="101"/>
      <c r="B211" s="101"/>
      <c r="D211" s="104"/>
      <c r="F211" s="105"/>
    </row>
    <row r="212" ht="15.75" customHeight="1">
      <c r="A212" s="101"/>
      <c r="B212" s="101"/>
      <c r="D212" s="104"/>
      <c r="F212" s="105"/>
    </row>
    <row r="213" ht="15.75" customHeight="1">
      <c r="A213" s="101"/>
      <c r="B213" s="101"/>
      <c r="D213" s="104"/>
      <c r="F213" s="105"/>
    </row>
    <row r="214" ht="15.75" customHeight="1">
      <c r="A214" s="101"/>
      <c r="B214" s="101"/>
      <c r="D214" s="104"/>
      <c r="F214" s="105"/>
    </row>
    <row r="215" ht="15.75" customHeight="1">
      <c r="A215" s="101"/>
      <c r="B215" s="101"/>
      <c r="D215" s="104"/>
      <c r="F215" s="105"/>
    </row>
    <row r="216" ht="15.75" customHeight="1">
      <c r="A216" s="101"/>
      <c r="B216" s="101"/>
      <c r="D216" s="104"/>
      <c r="F216" s="105"/>
    </row>
    <row r="217" ht="15.75" customHeight="1">
      <c r="A217" s="101"/>
      <c r="B217" s="101"/>
      <c r="D217" s="104"/>
      <c r="F217" s="105"/>
    </row>
    <row r="218" ht="15.75" customHeight="1">
      <c r="A218" s="101"/>
      <c r="B218" s="101"/>
      <c r="D218" s="104"/>
      <c r="F218" s="105"/>
    </row>
    <row r="219" ht="15.75" customHeight="1">
      <c r="A219" s="101"/>
      <c r="B219" s="101"/>
      <c r="D219" s="104"/>
      <c r="F219" s="105"/>
    </row>
    <row r="220" ht="15.75" customHeight="1">
      <c r="A220" s="101"/>
      <c r="B220" s="101"/>
      <c r="D220" s="104"/>
      <c r="F220" s="105"/>
    </row>
    <row r="221" ht="15.75" customHeight="1">
      <c r="A221" s="101"/>
      <c r="B221" s="101"/>
      <c r="D221" s="104"/>
      <c r="F221" s="105"/>
    </row>
    <row r="222" ht="15.75" customHeight="1">
      <c r="A222" s="101"/>
      <c r="B222" s="101"/>
      <c r="D222" s="104"/>
      <c r="F222" s="105"/>
    </row>
    <row r="223" ht="15.75" customHeight="1">
      <c r="A223" s="101"/>
      <c r="B223" s="101"/>
      <c r="D223" s="104"/>
      <c r="F223" s="105"/>
    </row>
    <row r="224" ht="15.75" customHeight="1">
      <c r="A224" s="101"/>
      <c r="B224" s="101"/>
      <c r="D224" s="104"/>
      <c r="F224" s="105"/>
    </row>
    <row r="225" ht="15.75" customHeight="1">
      <c r="A225" s="101"/>
      <c r="B225" s="101"/>
      <c r="D225" s="104"/>
      <c r="F225" s="105"/>
    </row>
    <row r="226" ht="15.75" customHeight="1">
      <c r="A226" s="101"/>
      <c r="B226" s="101"/>
      <c r="D226" s="104"/>
      <c r="F226" s="105"/>
    </row>
    <row r="227" ht="15.75" customHeight="1">
      <c r="A227" s="101"/>
      <c r="B227" s="101"/>
      <c r="D227" s="104"/>
      <c r="F227" s="105"/>
    </row>
    <row r="228" ht="15.75" customHeight="1">
      <c r="A228" s="101"/>
      <c r="B228" s="101"/>
      <c r="D228" s="104"/>
      <c r="F228" s="105"/>
    </row>
    <row r="229" ht="15.75" customHeight="1">
      <c r="A229" s="101"/>
      <c r="B229" s="101"/>
      <c r="D229" s="104"/>
      <c r="F229" s="105"/>
    </row>
    <row r="230" ht="15.75" customHeight="1">
      <c r="A230" s="101"/>
      <c r="B230" s="101"/>
      <c r="D230" s="104"/>
      <c r="F230" s="105"/>
    </row>
    <row r="231" ht="15.75" customHeight="1">
      <c r="A231" s="101"/>
      <c r="B231" s="101"/>
      <c r="D231" s="104"/>
      <c r="F231" s="105"/>
    </row>
    <row r="232" ht="15.75" customHeight="1">
      <c r="A232" s="101"/>
      <c r="B232" s="101"/>
      <c r="D232" s="104"/>
      <c r="F232" s="105"/>
    </row>
    <row r="233" ht="15.75" customHeight="1">
      <c r="A233" s="101"/>
      <c r="B233" s="101"/>
      <c r="D233" s="104"/>
      <c r="F233" s="105"/>
    </row>
    <row r="234" ht="15.75" customHeight="1">
      <c r="A234" s="101"/>
      <c r="B234" s="101"/>
      <c r="D234" s="104"/>
      <c r="F234" s="105"/>
    </row>
    <row r="235" ht="15.75" customHeight="1">
      <c r="A235" s="101"/>
      <c r="B235" s="101"/>
      <c r="D235" s="104"/>
      <c r="F235" s="105"/>
    </row>
    <row r="236" ht="15.75" customHeight="1">
      <c r="A236" s="101"/>
      <c r="B236" s="101"/>
      <c r="D236" s="104"/>
      <c r="F236" s="105"/>
    </row>
    <row r="237" ht="15.75" customHeight="1">
      <c r="A237" s="101"/>
      <c r="B237" s="101"/>
      <c r="D237" s="104"/>
      <c r="F237" s="105"/>
    </row>
    <row r="238" ht="15.75" customHeight="1">
      <c r="A238" s="101"/>
      <c r="B238" s="101"/>
      <c r="D238" s="104"/>
      <c r="F238" s="105"/>
    </row>
    <row r="239" ht="15.75" customHeight="1">
      <c r="A239" s="101"/>
      <c r="B239" s="101"/>
      <c r="D239" s="104"/>
      <c r="F239" s="105"/>
    </row>
    <row r="240" ht="15.75" customHeight="1">
      <c r="A240" s="101"/>
      <c r="B240" s="101"/>
      <c r="D240" s="104"/>
      <c r="F240" s="105"/>
    </row>
    <row r="241" ht="15.75" customHeight="1">
      <c r="A241" s="101"/>
      <c r="B241" s="101"/>
      <c r="D241" s="104"/>
      <c r="F241" s="105"/>
    </row>
    <row r="242" ht="15.75" customHeight="1">
      <c r="A242" s="101"/>
      <c r="B242" s="101"/>
      <c r="D242" s="104"/>
      <c r="F242" s="105"/>
    </row>
    <row r="243" ht="15.75" customHeight="1">
      <c r="A243" s="101"/>
      <c r="B243" s="101"/>
      <c r="D243" s="104"/>
      <c r="F243" s="105"/>
    </row>
    <row r="244" ht="15.75" customHeight="1">
      <c r="A244" s="101"/>
      <c r="B244" s="101"/>
      <c r="D244" s="104"/>
      <c r="F244" s="105"/>
    </row>
    <row r="245" ht="15.75" customHeight="1">
      <c r="A245" s="101"/>
      <c r="B245" s="101"/>
      <c r="D245" s="104"/>
      <c r="F245" s="105"/>
    </row>
    <row r="246" ht="15.75" customHeight="1">
      <c r="A246" s="101"/>
      <c r="B246" s="101"/>
      <c r="D246" s="104"/>
      <c r="F246" s="105"/>
    </row>
    <row r="247" ht="15.75" customHeight="1">
      <c r="A247" s="101"/>
      <c r="B247" s="101"/>
      <c r="D247" s="104"/>
      <c r="F247" s="105"/>
    </row>
    <row r="248" ht="15.75" customHeight="1">
      <c r="A248" s="101"/>
      <c r="B248" s="101"/>
      <c r="D248" s="104"/>
      <c r="F248" s="105"/>
    </row>
    <row r="249" ht="15.75" customHeight="1">
      <c r="A249" s="101"/>
      <c r="B249" s="101"/>
      <c r="D249" s="104"/>
      <c r="F249" s="105"/>
    </row>
    <row r="250" ht="15.75" customHeight="1">
      <c r="A250" s="101"/>
      <c r="B250" s="101"/>
      <c r="D250" s="104"/>
      <c r="F250" s="105"/>
    </row>
    <row r="251" ht="15.75" customHeight="1">
      <c r="A251" s="101"/>
      <c r="B251" s="101"/>
      <c r="D251" s="104"/>
      <c r="F251" s="105"/>
    </row>
    <row r="252" ht="15.75" customHeight="1">
      <c r="A252" s="101"/>
      <c r="B252" s="101"/>
      <c r="D252" s="104"/>
      <c r="F252" s="105"/>
    </row>
    <row r="253" ht="15.75" customHeight="1">
      <c r="A253" s="101"/>
      <c r="B253" s="101"/>
      <c r="D253" s="104"/>
      <c r="F253" s="105"/>
    </row>
    <row r="254" ht="15.75" customHeight="1">
      <c r="A254" s="101"/>
      <c r="B254" s="101"/>
      <c r="D254" s="104"/>
      <c r="F254" s="105"/>
    </row>
    <row r="255" ht="15.75" customHeight="1">
      <c r="A255" s="101"/>
      <c r="B255" s="101"/>
      <c r="D255" s="104"/>
      <c r="F255" s="105"/>
    </row>
    <row r="256" ht="15.75" customHeight="1">
      <c r="A256" s="101"/>
      <c r="B256" s="101"/>
      <c r="D256" s="104"/>
      <c r="F256" s="105"/>
    </row>
    <row r="257" ht="15.75" customHeight="1">
      <c r="A257" s="101"/>
      <c r="B257" s="101"/>
      <c r="D257" s="104"/>
      <c r="F257" s="105"/>
    </row>
    <row r="258" ht="15.75" customHeight="1">
      <c r="A258" s="101"/>
      <c r="B258" s="101"/>
      <c r="D258" s="104"/>
      <c r="F258" s="105"/>
    </row>
    <row r="259" ht="15.75" customHeight="1">
      <c r="A259" s="101"/>
      <c r="B259" s="101"/>
      <c r="D259" s="104"/>
      <c r="F259" s="105"/>
    </row>
    <row r="260" ht="15.75" customHeight="1">
      <c r="A260" s="101"/>
      <c r="B260" s="101"/>
      <c r="D260" s="104"/>
      <c r="F260" s="105"/>
    </row>
    <row r="261" ht="15.75" customHeight="1">
      <c r="A261" s="101"/>
      <c r="B261" s="101"/>
      <c r="D261" s="104"/>
      <c r="F261" s="105"/>
    </row>
    <row r="262" ht="15.75" customHeight="1">
      <c r="A262" s="101"/>
      <c r="B262" s="101"/>
      <c r="D262" s="104"/>
      <c r="F262" s="105"/>
    </row>
    <row r="263" ht="15.75" customHeight="1">
      <c r="A263" s="101"/>
      <c r="B263" s="101"/>
      <c r="D263" s="104"/>
      <c r="F263" s="105"/>
    </row>
    <row r="264" ht="15.75" customHeight="1">
      <c r="A264" s="101"/>
      <c r="B264" s="101"/>
      <c r="D264" s="104"/>
      <c r="F264" s="105"/>
    </row>
    <row r="265" ht="15.75" customHeight="1">
      <c r="A265" s="101"/>
      <c r="B265" s="101"/>
      <c r="D265" s="104"/>
      <c r="F265" s="105"/>
    </row>
    <row r="266" ht="15.75" customHeight="1">
      <c r="A266" s="101"/>
      <c r="B266" s="101"/>
      <c r="D266" s="104"/>
      <c r="F266" s="105"/>
    </row>
    <row r="267" ht="15.75" customHeight="1">
      <c r="A267" s="101"/>
      <c r="B267" s="101"/>
      <c r="D267" s="104"/>
      <c r="F267" s="105"/>
    </row>
    <row r="268" ht="15.75" customHeight="1">
      <c r="A268" s="101"/>
      <c r="B268" s="101"/>
      <c r="D268" s="104"/>
      <c r="F268" s="105"/>
    </row>
    <row r="269" ht="15.75" customHeight="1">
      <c r="A269" s="101"/>
      <c r="B269" s="101"/>
      <c r="D269" s="104"/>
      <c r="F269" s="105"/>
    </row>
    <row r="270" ht="15.75" customHeight="1">
      <c r="A270" s="101"/>
      <c r="B270" s="101"/>
      <c r="D270" s="104"/>
      <c r="F270" s="105"/>
    </row>
    <row r="271" ht="15.75" customHeight="1">
      <c r="A271" s="101"/>
      <c r="B271" s="101"/>
      <c r="D271" s="104"/>
      <c r="F271" s="105"/>
    </row>
    <row r="272" ht="15.75" customHeight="1">
      <c r="A272" s="101"/>
      <c r="B272" s="101"/>
      <c r="D272" s="104"/>
      <c r="F272" s="105"/>
    </row>
    <row r="273" ht="15.75" customHeight="1">
      <c r="A273" s="101"/>
      <c r="B273" s="101"/>
      <c r="D273" s="104"/>
      <c r="F273" s="105"/>
    </row>
    <row r="274" ht="15.75" customHeight="1">
      <c r="A274" s="101"/>
      <c r="B274" s="101"/>
      <c r="D274" s="104"/>
      <c r="F274" s="105"/>
    </row>
    <row r="275" ht="15.75" customHeight="1">
      <c r="A275" s="101"/>
      <c r="B275" s="101"/>
      <c r="D275" s="104"/>
      <c r="F275" s="105"/>
    </row>
    <row r="276" ht="15.75" customHeight="1">
      <c r="A276" s="101"/>
      <c r="B276" s="101"/>
      <c r="D276" s="104"/>
      <c r="F276" s="105"/>
    </row>
    <row r="277" ht="15.75" customHeight="1">
      <c r="A277" s="101"/>
      <c r="B277" s="101"/>
      <c r="D277" s="104"/>
      <c r="F277" s="105"/>
    </row>
    <row r="278" ht="15.75" customHeight="1">
      <c r="A278" s="101"/>
      <c r="B278" s="101"/>
      <c r="D278" s="104"/>
      <c r="F278" s="105"/>
    </row>
    <row r="279" ht="15.75" customHeight="1">
      <c r="A279" s="101"/>
      <c r="B279" s="101"/>
      <c r="D279" s="104"/>
      <c r="F279" s="105"/>
    </row>
    <row r="280" ht="15.75" customHeight="1">
      <c r="A280" s="101"/>
      <c r="B280" s="101"/>
      <c r="D280" s="104"/>
      <c r="F280" s="105"/>
    </row>
    <row r="281" ht="15.75" customHeight="1">
      <c r="A281" s="101"/>
      <c r="B281" s="101"/>
      <c r="D281" s="104"/>
      <c r="F281" s="105"/>
    </row>
    <row r="282" ht="15.75" customHeight="1">
      <c r="A282" s="101"/>
      <c r="B282" s="101"/>
      <c r="D282" s="104"/>
      <c r="F282" s="105"/>
    </row>
    <row r="283" ht="15.75" customHeight="1">
      <c r="A283" s="101"/>
      <c r="B283" s="101"/>
      <c r="D283" s="104"/>
      <c r="F283" s="105"/>
    </row>
    <row r="284" ht="15.75" customHeight="1">
      <c r="A284" s="101"/>
      <c r="B284" s="101"/>
      <c r="D284" s="104"/>
      <c r="F284" s="105"/>
    </row>
    <row r="285" ht="15.75" customHeight="1">
      <c r="A285" s="101"/>
      <c r="B285" s="101"/>
      <c r="D285" s="104"/>
      <c r="F285" s="105"/>
    </row>
    <row r="286" ht="15.75" customHeight="1">
      <c r="A286" s="101"/>
      <c r="B286" s="101"/>
      <c r="D286" s="104"/>
      <c r="F286" s="105"/>
    </row>
    <row r="287" ht="15.75" customHeight="1">
      <c r="A287" s="101"/>
      <c r="B287" s="101"/>
      <c r="D287" s="104"/>
      <c r="F287" s="105"/>
    </row>
    <row r="288" ht="15.75" customHeight="1">
      <c r="A288" s="101"/>
      <c r="B288" s="101"/>
      <c r="D288" s="104"/>
      <c r="F288" s="105"/>
    </row>
    <row r="289" ht="15.75" customHeight="1">
      <c r="A289" s="101"/>
      <c r="B289" s="101"/>
      <c r="D289" s="104"/>
      <c r="F289" s="105"/>
    </row>
    <row r="290" ht="15.75" customHeight="1">
      <c r="A290" s="101"/>
      <c r="B290" s="101"/>
      <c r="D290" s="104"/>
      <c r="F290" s="105"/>
    </row>
    <row r="291" ht="15.75" customHeight="1">
      <c r="A291" s="101"/>
      <c r="B291" s="101"/>
      <c r="D291" s="104"/>
      <c r="F291" s="105"/>
    </row>
    <row r="292" ht="15.75" customHeight="1">
      <c r="A292" s="101"/>
      <c r="B292" s="101"/>
      <c r="D292" s="104"/>
      <c r="F292" s="105"/>
    </row>
    <row r="293" ht="15.75" customHeight="1">
      <c r="A293" s="101"/>
      <c r="B293" s="101"/>
      <c r="D293" s="104"/>
      <c r="F293" s="105"/>
    </row>
    <row r="294" ht="15.75" customHeight="1">
      <c r="A294" s="101"/>
      <c r="B294" s="101"/>
      <c r="D294" s="104"/>
      <c r="F294" s="105"/>
    </row>
    <row r="295" ht="15.75" customHeight="1">
      <c r="A295" s="101"/>
      <c r="B295" s="101"/>
      <c r="D295" s="104"/>
      <c r="F295" s="105"/>
    </row>
    <row r="296" ht="15.75" customHeight="1">
      <c r="A296" s="101"/>
      <c r="B296" s="101"/>
      <c r="D296" s="104"/>
      <c r="F296" s="105"/>
    </row>
    <row r="297" ht="15.75" customHeight="1">
      <c r="A297" s="101"/>
      <c r="B297" s="101"/>
      <c r="D297" s="104"/>
      <c r="F297" s="105"/>
    </row>
    <row r="298" ht="15.75" customHeight="1">
      <c r="A298" s="101"/>
      <c r="B298" s="101"/>
      <c r="D298" s="104"/>
      <c r="F298" s="105"/>
    </row>
    <row r="299" ht="15.75" customHeight="1">
      <c r="A299" s="101"/>
      <c r="B299" s="101"/>
      <c r="D299" s="104"/>
      <c r="F299" s="105"/>
    </row>
    <row r="300" ht="15.75" customHeight="1">
      <c r="A300" s="101"/>
      <c r="B300" s="101"/>
      <c r="D300" s="104"/>
      <c r="F300" s="105"/>
    </row>
    <row r="301" ht="15.75" customHeight="1">
      <c r="A301" s="101"/>
      <c r="B301" s="101"/>
      <c r="D301" s="104"/>
      <c r="F301" s="105"/>
    </row>
    <row r="302" ht="15.75" customHeight="1">
      <c r="A302" s="101"/>
      <c r="B302" s="101"/>
      <c r="D302" s="104"/>
      <c r="F302" s="105"/>
    </row>
    <row r="303" ht="15.75" customHeight="1">
      <c r="A303" s="101"/>
      <c r="B303" s="101"/>
      <c r="D303" s="104"/>
      <c r="F303" s="105"/>
    </row>
    <row r="304" ht="15.75" customHeight="1">
      <c r="A304" s="101"/>
      <c r="B304" s="101"/>
      <c r="D304" s="104"/>
      <c r="F304" s="105"/>
    </row>
    <row r="305" ht="15.75" customHeight="1">
      <c r="A305" s="101"/>
      <c r="B305" s="101"/>
      <c r="D305" s="104"/>
      <c r="F305" s="105"/>
    </row>
    <row r="306" ht="15.75" customHeight="1">
      <c r="A306" s="101"/>
      <c r="B306" s="101"/>
      <c r="D306" s="104"/>
      <c r="F306" s="105"/>
    </row>
    <row r="307" ht="15.75" customHeight="1">
      <c r="A307" s="101"/>
      <c r="B307" s="101"/>
      <c r="D307" s="104"/>
      <c r="F307" s="105"/>
    </row>
    <row r="308" ht="15.75" customHeight="1">
      <c r="A308" s="101"/>
      <c r="B308" s="101"/>
      <c r="D308" s="104"/>
      <c r="F308" s="105"/>
    </row>
    <row r="309" ht="15.75" customHeight="1">
      <c r="A309" s="101"/>
      <c r="B309" s="101"/>
      <c r="D309" s="104"/>
      <c r="F309" s="105"/>
    </row>
    <row r="310" ht="15.75" customHeight="1">
      <c r="A310" s="101"/>
      <c r="B310" s="101"/>
      <c r="D310" s="104"/>
      <c r="F310" s="105"/>
    </row>
    <row r="311" ht="15.75" customHeight="1">
      <c r="A311" s="101"/>
      <c r="B311" s="101"/>
      <c r="D311" s="104"/>
      <c r="F311" s="105"/>
    </row>
    <row r="312" ht="15.75" customHeight="1">
      <c r="A312" s="101"/>
      <c r="B312" s="101"/>
      <c r="D312" s="104"/>
      <c r="F312" s="105"/>
    </row>
    <row r="313" ht="15.75" customHeight="1">
      <c r="A313" s="101"/>
      <c r="B313" s="101"/>
      <c r="D313" s="104"/>
      <c r="F313" s="105"/>
    </row>
    <row r="314" ht="15.75" customHeight="1">
      <c r="A314" s="101"/>
      <c r="B314" s="101"/>
      <c r="D314" s="104"/>
      <c r="F314" s="105"/>
    </row>
    <row r="315" ht="15.75" customHeight="1">
      <c r="A315" s="101"/>
      <c r="B315" s="101"/>
      <c r="D315" s="104"/>
      <c r="F315" s="105"/>
    </row>
    <row r="316" ht="15.75" customHeight="1">
      <c r="A316" s="101"/>
      <c r="B316" s="101"/>
      <c r="D316" s="104"/>
      <c r="F316" s="105"/>
    </row>
    <row r="317" ht="15.75" customHeight="1">
      <c r="A317" s="101"/>
      <c r="B317" s="101"/>
      <c r="D317" s="104"/>
      <c r="F317" s="105"/>
    </row>
    <row r="318" ht="15.75" customHeight="1">
      <c r="A318" s="101"/>
      <c r="B318" s="101"/>
      <c r="D318" s="104"/>
      <c r="F318" s="105"/>
    </row>
    <row r="319" ht="15.75" customHeight="1">
      <c r="A319" s="101"/>
      <c r="B319" s="101"/>
      <c r="D319" s="104"/>
      <c r="F319" s="105"/>
    </row>
    <row r="320" ht="15.75" customHeight="1">
      <c r="A320" s="101"/>
      <c r="B320" s="101"/>
      <c r="D320" s="104"/>
      <c r="F320" s="105"/>
    </row>
    <row r="321" ht="15.75" customHeight="1">
      <c r="A321" s="101"/>
      <c r="B321" s="101"/>
      <c r="D321" s="104"/>
      <c r="F321" s="105"/>
    </row>
    <row r="322" ht="15.75" customHeight="1">
      <c r="A322" s="101"/>
      <c r="B322" s="101"/>
      <c r="D322" s="104"/>
      <c r="F322" s="105"/>
    </row>
    <row r="323" ht="15.75" customHeight="1">
      <c r="A323" s="101"/>
      <c r="B323" s="101"/>
      <c r="D323" s="104"/>
      <c r="F323" s="105"/>
    </row>
    <row r="324" ht="15.75" customHeight="1">
      <c r="A324" s="101"/>
      <c r="B324" s="101"/>
      <c r="D324" s="104"/>
      <c r="F324" s="105"/>
    </row>
    <row r="325" ht="15.75" customHeight="1">
      <c r="A325" s="101"/>
      <c r="B325" s="101"/>
      <c r="D325" s="104"/>
      <c r="F325" s="105"/>
    </row>
    <row r="326" ht="15.75" customHeight="1">
      <c r="A326" s="101"/>
      <c r="B326" s="101"/>
      <c r="D326" s="104"/>
      <c r="F326" s="105"/>
    </row>
    <row r="327" ht="15.75" customHeight="1">
      <c r="A327" s="101"/>
      <c r="B327" s="101"/>
      <c r="D327" s="104"/>
      <c r="F327" s="105"/>
    </row>
    <row r="328" ht="15.75" customHeight="1">
      <c r="A328" s="101"/>
      <c r="B328" s="101"/>
      <c r="D328" s="104"/>
      <c r="F328" s="105"/>
    </row>
    <row r="329" ht="15.75" customHeight="1">
      <c r="A329" s="101"/>
      <c r="B329" s="101"/>
      <c r="D329" s="104"/>
      <c r="F329" s="105"/>
    </row>
    <row r="330" ht="15.75" customHeight="1">
      <c r="A330" s="101"/>
      <c r="B330" s="101"/>
      <c r="D330" s="104"/>
      <c r="F330" s="105"/>
    </row>
    <row r="331" ht="15.75" customHeight="1">
      <c r="A331" s="101"/>
      <c r="B331" s="101"/>
      <c r="D331" s="104"/>
      <c r="F331" s="105"/>
    </row>
    <row r="332" ht="15.75" customHeight="1">
      <c r="A332" s="101"/>
      <c r="B332" s="101"/>
      <c r="D332" s="104"/>
      <c r="F332" s="105"/>
    </row>
    <row r="333" ht="15.75" customHeight="1">
      <c r="A333" s="101"/>
      <c r="B333" s="101"/>
      <c r="D333" s="104"/>
      <c r="F333" s="105"/>
    </row>
    <row r="334" ht="15.75" customHeight="1">
      <c r="A334" s="101"/>
      <c r="B334" s="101"/>
      <c r="D334" s="104"/>
      <c r="F334" s="105"/>
    </row>
    <row r="335" ht="15.75" customHeight="1">
      <c r="A335" s="101"/>
      <c r="B335" s="101"/>
      <c r="D335" s="104"/>
      <c r="F335" s="105"/>
    </row>
    <row r="336" ht="15.75" customHeight="1">
      <c r="A336" s="101"/>
      <c r="B336" s="101"/>
      <c r="D336" s="104"/>
      <c r="F336" s="105"/>
    </row>
    <row r="337" ht="15.75" customHeight="1">
      <c r="A337" s="101"/>
      <c r="B337" s="101"/>
      <c r="D337" s="104"/>
      <c r="F337" s="105"/>
    </row>
    <row r="338" ht="15.75" customHeight="1">
      <c r="A338" s="101"/>
      <c r="B338" s="101"/>
      <c r="D338" s="104"/>
      <c r="F338" s="105"/>
    </row>
    <row r="339" ht="15.75" customHeight="1">
      <c r="A339" s="101"/>
      <c r="B339" s="101"/>
      <c r="D339" s="104"/>
      <c r="F339" s="105"/>
    </row>
    <row r="340" ht="15.75" customHeight="1">
      <c r="A340" s="101"/>
      <c r="B340" s="101"/>
      <c r="D340" s="104"/>
      <c r="F340" s="105"/>
    </row>
    <row r="341" ht="15.75" customHeight="1">
      <c r="A341" s="101"/>
      <c r="B341" s="101"/>
      <c r="D341" s="104"/>
      <c r="F341" s="105"/>
    </row>
    <row r="342" ht="15.75" customHeight="1">
      <c r="A342" s="101"/>
      <c r="B342" s="101"/>
      <c r="D342" s="104"/>
      <c r="F342" s="105"/>
    </row>
    <row r="343" ht="15.75" customHeight="1">
      <c r="A343" s="101"/>
      <c r="B343" s="101"/>
      <c r="D343" s="104"/>
      <c r="F343" s="105"/>
    </row>
    <row r="344" ht="15.75" customHeight="1">
      <c r="A344" s="101"/>
      <c r="B344" s="101"/>
      <c r="D344" s="104"/>
      <c r="F344" s="105"/>
    </row>
    <row r="345" ht="15.75" customHeight="1">
      <c r="A345" s="101"/>
      <c r="B345" s="101"/>
      <c r="D345" s="104"/>
      <c r="F345" s="105"/>
    </row>
    <row r="346" ht="15.75" customHeight="1">
      <c r="A346" s="101"/>
      <c r="B346" s="101"/>
      <c r="D346" s="104"/>
      <c r="F346" s="105"/>
    </row>
    <row r="347" ht="15.75" customHeight="1">
      <c r="A347" s="101"/>
      <c r="B347" s="101"/>
      <c r="D347" s="104"/>
      <c r="F347" s="105"/>
    </row>
    <row r="348" ht="15.75" customHeight="1">
      <c r="A348" s="101"/>
      <c r="B348" s="101"/>
      <c r="D348" s="104"/>
      <c r="F348" s="105"/>
    </row>
    <row r="349" ht="15.75" customHeight="1">
      <c r="A349" s="101"/>
      <c r="B349" s="101"/>
      <c r="D349" s="104"/>
      <c r="F349" s="105"/>
    </row>
    <row r="350" ht="15.75" customHeight="1">
      <c r="A350" s="101"/>
      <c r="B350" s="101"/>
      <c r="D350" s="104"/>
      <c r="F350" s="105"/>
    </row>
    <row r="351" ht="15.75" customHeight="1">
      <c r="A351" s="101"/>
      <c r="B351" s="101"/>
      <c r="D351" s="104"/>
      <c r="F351" s="105"/>
    </row>
    <row r="352" ht="15.75" customHeight="1">
      <c r="A352" s="101"/>
      <c r="B352" s="101"/>
      <c r="D352" s="104"/>
      <c r="F352" s="105"/>
    </row>
    <row r="353" ht="15.75" customHeight="1">
      <c r="A353" s="101"/>
      <c r="B353" s="101"/>
      <c r="D353" s="104"/>
      <c r="F353" s="105"/>
    </row>
    <row r="354" ht="15.75" customHeight="1">
      <c r="A354" s="101"/>
      <c r="B354" s="101"/>
      <c r="D354" s="104"/>
      <c r="F354" s="105"/>
    </row>
    <row r="355" ht="15.75" customHeight="1">
      <c r="A355" s="101"/>
      <c r="B355" s="101"/>
      <c r="D355" s="104"/>
      <c r="F355" s="105"/>
    </row>
    <row r="356" ht="15.75" customHeight="1">
      <c r="A356" s="101"/>
      <c r="B356" s="101"/>
      <c r="D356" s="104"/>
      <c r="F356" s="105"/>
    </row>
    <row r="357" ht="15.75" customHeight="1">
      <c r="A357" s="101"/>
      <c r="B357" s="101"/>
      <c r="D357" s="104"/>
      <c r="F357" s="105"/>
    </row>
    <row r="358" ht="15.75" customHeight="1">
      <c r="A358" s="101"/>
      <c r="B358" s="101"/>
      <c r="D358" s="104"/>
      <c r="F358" s="105"/>
    </row>
    <row r="359" ht="15.75" customHeight="1">
      <c r="A359" s="101"/>
      <c r="B359" s="101"/>
      <c r="D359" s="104"/>
      <c r="F359" s="105"/>
    </row>
    <row r="360" ht="15.75" customHeight="1">
      <c r="A360" s="101"/>
      <c r="B360" s="101"/>
      <c r="D360" s="104"/>
      <c r="F360" s="105"/>
    </row>
    <row r="361" ht="15.75" customHeight="1">
      <c r="A361" s="101"/>
      <c r="B361" s="101"/>
      <c r="D361" s="104"/>
      <c r="F361" s="105"/>
    </row>
    <row r="362" ht="15.75" customHeight="1">
      <c r="A362" s="101"/>
      <c r="B362" s="101"/>
      <c r="D362" s="104"/>
      <c r="F362" s="105"/>
    </row>
    <row r="363" ht="15.75" customHeight="1">
      <c r="A363" s="101"/>
      <c r="B363" s="101"/>
      <c r="D363" s="104"/>
      <c r="F363" s="105"/>
    </row>
    <row r="364" ht="15.75" customHeight="1">
      <c r="A364" s="101"/>
      <c r="B364" s="101"/>
      <c r="D364" s="104"/>
      <c r="F364" s="105"/>
    </row>
    <row r="365" ht="15.75" customHeight="1">
      <c r="A365" s="101"/>
      <c r="B365" s="101"/>
      <c r="D365" s="104"/>
      <c r="F365" s="105"/>
    </row>
    <row r="366" ht="15.75" customHeight="1">
      <c r="A366" s="101"/>
      <c r="B366" s="101"/>
      <c r="D366" s="104"/>
      <c r="F366" s="105"/>
    </row>
    <row r="367" ht="15.75" customHeight="1">
      <c r="A367" s="101"/>
      <c r="B367" s="101"/>
      <c r="D367" s="104"/>
      <c r="F367" s="105"/>
    </row>
    <row r="368" ht="15.75" customHeight="1">
      <c r="A368" s="101"/>
      <c r="B368" s="101"/>
      <c r="D368" s="104"/>
      <c r="F368" s="105"/>
    </row>
    <row r="369" ht="15.75" customHeight="1">
      <c r="A369" s="101"/>
      <c r="B369" s="101"/>
      <c r="D369" s="104"/>
      <c r="F369" s="105"/>
    </row>
    <row r="370" ht="15.75" customHeight="1">
      <c r="A370" s="101"/>
      <c r="B370" s="101"/>
      <c r="D370" s="104"/>
      <c r="F370" s="105"/>
    </row>
    <row r="371" ht="15.75" customHeight="1">
      <c r="A371" s="101"/>
      <c r="B371" s="101"/>
      <c r="D371" s="104"/>
      <c r="F371" s="105"/>
    </row>
    <row r="372" ht="15.75" customHeight="1">
      <c r="A372" s="101"/>
      <c r="B372" s="101"/>
      <c r="D372" s="104"/>
      <c r="F372" s="105"/>
    </row>
    <row r="373" ht="15.75" customHeight="1">
      <c r="A373" s="101"/>
      <c r="B373" s="101"/>
      <c r="D373" s="104"/>
      <c r="F373" s="105"/>
    </row>
    <row r="374" ht="15.75" customHeight="1">
      <c r="A374" s="101"/>
      <c r="B374" s="101"/>
      <c r="D374" s="104"/>
      <c r="F374" s="105"/>
    </row>
    <row r="375" ht="15.75" customHeight="1">
      <c r="A375" s="101"/>
      <c r="B375" s="101"/>
      <c r="D375" s="104"/>
      <c r="F375" s="105"/>
    </row>
    <row r="376" ht="15.75" customHeight="1">
      <c r="A376" s="101"/>
      <c r="B376" s="101"/>
      <c r="D376" s="104"/>
      <c r="F376" s="105"/>
    </row>
    <row r="377" ht="15.75" customHeight="1">
      <c r="A377" s="101"/>
      <c r="B377" s="101"/>
      <c r="D377" s="104"/>
      <c r="F377" s="105"/>
    </row>
    <row r="378" ht="15.75" customHeight="1">
      <c r="A378" s="101"/>
      <c r="B378" s="101"/>
      <c r="D378" s="104"/>
      <c r="F378" s="105"/>
    </row>
    <row r="379" ht="15.75" customHeight="1">
      <c r="A379" s="101"/>
      <c r="B379" s="101"/>
      <c r="D379" s="104"/>
      <c r="F379" s="105"/>
    </row>
    <row r="380" ht="15.75" customHeight="1">
      <c r="A380" s="101"/>
      <c r="B380" s="101"/>
      <c r="D380" s="104"/>
      <c r="F380" s="105"/>
    </row>
    <row r="381" ht="15.75" customHeight="1">
      <c r="A381" s="101"/>
      <c r="B381" s="101"/>
      <c r="D381" s="104"/>
      <c r="F381" s="105"/>
    </row>
    <row r="382" ht="15.75" customHeight="1">
      <c r="A382" s="101"/>
      <c r="B382" s="101"/>
      <c r="D382" s="104"/>
      <c r="F382" s="105"/>
    </row>
    <row r="383" ht="15.75" customHeight="1">
      <c r="A383" s="101"/>
      <c r="B383" s="101"/>
      <c r="D383" s="104"/>
      <c r="F383" s="105"/>
    </row>
    <row r="384" ht="15.75" customHeight="1">
      <c r="A384" s="101"/>
      <c r="B384" s="101"/>
      <c r="D384" s="104"/>
      <c r="F384" s="105"/>
    </row>
    <row r="385" ht="15.75" customHeight="1">
      <c r="A385" s="101"/>
      <c r="B385" s="101"/>
      <c r="D385" s="104"/>
      <c r="F385" s="105"/>
    </row>
    <row r="386" ht="15.75" customHeight="1">
      <c r="A386" s="101"/>
      <c r="B386" s="101"/>
      <c r="D386" s="104"/>
      <c r="F386" s="105"/>
    </row>
    <row r="387" ht="15.75" customHeight="1">
      <c r="A387" s="101"/>
      <c r="B387" s="101"/>
      <c r="D387" s="104"/>
      <c r="F387" s="105"/>
    </row>
    <row r="388" ht="15.75" customHeight="1">
      <c r="A388" s="101"/>
      <c r="B388" s="101"/>
      <c r="D388" s="104"/>
      <c r="F388" s="105"/>
    </row>
    <row r="389" ht="15.75" customHeight="1">
      <c r="A389" s="101"/>
      <c r="B389" s="101"/>
      <c r="D389" s="104"/>
      <c r="F389" s="105"/>
    </row>
    <row r="390" ht="15.75" customHeight="1">
      <c r="A390" s="101"/>
      <c r="B390" s="101"/>
      <c r="D390" s="104"/>
      <c r="F390" s="105"/>
    </row>
    <row r="391" ht="15.75" customHeight="1">
      <c r="A391" s="101"/>
      <c r="B391" s="101"/>
      <c r="D391" s="104"/>
      <c r="F391" s="105"/>
    </row>
    <row r="392" ht="15.75" customHeight="1">
      <c r="A392" s="101"/>
      <c r="B392" s="101"/>
      <c r="D392" s="104"/>
      <c r="F392" s="105"/>
    </row>
    <row r="393" ht="15.75" customHeight="1">
      <c r="A393" s="101"/>
      <c r="B393" s="101"/>
      <c r="D393" s="104"/>
      <c r="F393" s="105"/>
    </row>
    <row r="394" ht="15.75" customHeight="1">
      <c r="A394" s="101"/>
      <c r="B394" s="101"/>
      <c r="D394" s="104"/>
      <c r="F394" s="105"/>
    </row>
    <row r="395" ht="15.75" customHeight="1">
      <c r="A395" s="101"/>
      <c r="B395" s="101"/>
      <c r="D395" s="104"/>
      <c r="F395" s="105"/>
    </row>
    <row r="396" ht="15.75" customHeight="1">
      <c r="A396" s="101"/>
      <c r="B396" s="101"/>
      <c r="D396" s="104"/>
      <c r="F396" s="105"/>
    </row>
    <row r="397" ht="15.75" customHeight="1">
      <c r="A397" s="101"/>
      <c r="B397" s="101"/>
      <c r="D397" s="104"/>
      <c r="F397" s="105"/>
    </row>
    <row r="398" ht="15.75" customHeight="1">
      <c r="A398" s="101"/>
      <c r="B398" s="101"/>
      <c r="D398" s="104"/>
      <c r="F398" s="105"/>
    </row>
    <row r="399" ht="15.75" customHeight="1">
      <c r="A399" s="101"/>
      <c r="B399" s="101"/>
      <c r="D399" s="104"/>
      <c r="F399" s="105"/>
    </row>
    <row r="400" ht="15.75" customHeight="1">
      <c r="A400" s="101"/>
      <c r="B400" s="101"/>
      <c r="D400" s="104"/>
      <c r="F400" s="105"/>
    </row>
    <row r="401" ht="15.75" customHeight="1">
      <c r="A401" s="101"/>
      <c r="B401" s="101"/>
      <c r="D401" s="104"/>
      <c r="F401" s="105"/>
    </row>
    <row r="402" ht="15.75" customHeight="1">
      <c r="A402" s="101"/>
      <c r="B402" s="101"/>
      <c r="D402" s="104"/>
      <c r="F402" s="105"/>
    </row>
    <row r="403" ht="15.75" customHeight="1">
      <c r="A403" s="101"/>
      <c r="B403" s="101"/>
      <c r="D403" s="104"/>
      <c r="F403" s="105"/>
    </row>
    <row r="404" ht="15.75" customHeight="1">
      <c r="A404" s="101"/>
      <c r="B404" s="101"/>
      <c r="D404" s="104"/>
      <c r="F404" s="105"/>
    </row>
    <row r="405" ht="15.75" customHeight="1">
      <c r="A405" s="101"/>
      <c r="B405" s="101"/>
      <c r="D405" s="104"/>
      <c r="F405" s="105"/>
    </row>
    <row r="406" ht="15.75" customHeight="1">
      <c r="A406" s="101"/>
      <c r="B406" s="101"/>
      <c r="D406" s="104"/>
      <c r="F406" s="105"/>
    </row>
    <row r="407" ht="15.75" customHeight="1">
      <c r="A407" s="101"/>
      <c r="B407" s="101"/>
      <c r="D407" s="104"/>
      <c r="F407" s="105"/>
    </row>
    <row r="408" ht="15.75" customHeight="1">
      <c r="A408" s="101"/>
      <c r="B408" s="101"/>
      <c r="D408" s="104"/>
      <c r="F408" s="105"/>
    </row>
    <row r="409" ht="15.75" customHeight="1">
      <c r="A409" s="101"/>
      <c r="B409" s="101"/>
      <c r="D409" s="104"/>
      <c r="F409" s="105"/>
    </row>
    <row r="410" ht="15.75" customHeight="1">
      <c r="A410" s="101"/>
      <c r="B410" s="101"/>
      <c r="D410" s="104"/>
      <c r="F410" s="105"/>
    </row>
    <row r="411" ht="15.75" customHeight="1">
      <c r="A411" s="101"/>
      <c r="B411" s="101"/>
      <c r="D411" s="104"/>
      <c r="F411" s="105"/>
    </row>
    <row r="412" ht="15.75" customHeight="1">
      <c r="A412" s="101"/>
      <c r="B412" s="101"/>
      <c r="D412" s="104"/>
      <c r="F412" s="105"/>
    </row>
    <row r="413" ht="15.75" customHeight="1">
      <c r="A413" s="101"/>
      <c r="B413" s="101"/>
      <c r="D413" s="104"/>
      <c r="F413" s="105"/>
    </row>
    <row r="414" ht="15.75" customHeight="1">
      <c r="A414" s="101"/>
      <c r="B414" s="101"/>
      <c r="D414" s="104"/>
      <c r="F414" s="105"/>
    </row>
    <row r="415" ht="15.75" customHeight="1">
      <c r="A415" s="101"/>
      <c r="B415" s="101"/>
      <c r="D415" s="104"/>
      <c r="F415" s="105"/>
    </row>
    <row r="416" ht="15.75" customHeight="1">
      <c r="A416" s="101"/>
      <c r="B416" s="101"/>
      <c r="D416" s="104"/>
      <c r="F416" s="105"/>
    </row>
    <row r="417" ht="15.75" customHeight="1">
      <c r="A417" s="101"/>
      <c r="B417" s="101"/>
      <c r="D417" s="104"/>
      <c r="F417" s="105"/>
    </row>
    <row r="418" ht="15.75" customHeight="1">
      <c r="A418" s="101"/>
      <c r="B418" s="101"/>
      <c r="D418" s="104"/>
      <c r="F418" s="105"/>
    </row>
    <row r="419" ht="15.75" customHeight="1">
      <c r="A419" s="101"/>
      <c r="B419" s="101"/>
      <c r="D419" s="104"/>
      <c r="F419" s="105"/>
    </row>
    <row r="420" ht="15.75" customHeight="1">
      <c r="A420" s="101"/>
      <c r="B420" s="101"/>
      <c r="D420" s="104"/>
      <c r="F420" s="105"/>
    </row>
    <row r="421" ht="15.75" customHeight="1">
      <c r="A421" s="101"/>
      <c r="B421" s="101"/>
      <c r="D421" s="104"/>
      <c r="F421" s="105"/>
    </row>
    <row r="422" ht="15.75" customHeight="1">
      <c r="A422" s="101"/>
      <c r="B422" s="101"/>
      <c r="D422" s="104"/>
      <c r="F422" s="105"/>
    </row>
    <row r="423" ht="15.75" customHeight="1">
      <c r="A423" s="101"/>
      <c r="B423" s="101"/>
      <c r="D423" s="104"/>
      <c r="F423" s="105"/>
    </row>
    <row r="424" ht="15.75" customHeight="1">
      <c r="A424" s="101"/>
      <c r="B424" s="101"/>
      <c r="D424" s="104"/>
      <c r="F424" s="105"/>
    </row>
    <row r="425" ht="15.75" customHeight="1">
      <c r="A425" s="101"/>
      <c r="B425" s="101"/>
      <c r="D425" s="104"/>
      <c r="F425" s="105"/>
    </row>
    <row r="426" ht="15.75" customHeight="1">
      <c r="A426" s="101"/>
      <c r="B426" s="101"/>
      <c r="D426" s="104"/>
      <c r="F426" s="105"/>
    </row>
    <row r="427" ht="15.75" customHeight="1">
      <c r="A427" s="101"/>
      <c r="B427" s="101"/>
      <c r="D427" s="104"/>
      <c r="F427" s="105"/>
    </row>
    <row r="428" ht="15.75" customHeight="1">
      <c r="A428" s="101"/>
      <c r="B428" s="101"/>
      <c r="D428" s="104"/>
      <c r="F428" s="105"/>
    </row>
    <row r="429" ht="15.75" customHeight="1">
      <c r="A429" s="101"/>
      <c r="B429" s="101"/>
      <c r="D429" s="104"/>
      <c r="F429" s="105"/>
    </row>
    <row r="430" ht="15.75" customHeight="1">
      <c r="A430" s="101"/>
      <c r="B430" s="101"/>
      <c r="D430" s="104"/>
      <c r="F430" s="105"/>
    </row>
    <row r="431" ht="15.75" customHeight="1">
      <c r="A431" s="101"/>
      <c r="B431" s="101"/>
      <c r="D431" s="104"/>
      <c r="F431" s="105"/>
    </row>
    <row r="432" ht="15.75" customHeight="1">
      <c r="A432" s="101"/>
      <c r="B432" s="101"/>
      <c r="D432" s="104"/>
      <c r="F432" s="105"/>
    </row>
    <row r="433" ht="15.75" customHeight="1">
      <c r="A433" s="101"/>
      <c r="B433" s="101"/>
      <c r="D433" s="104"/>
      <c r="F433" s="105"/>
    </row>
    <row r="434" ht="15.75" customHeight="1">
      <c r="A434" s="101"/>
      <c r="B434" s="101"/>
      <c r="D434" s="104"/>
      <c r="F434" s="105"/>
    </row>
    <row r="435" ht="15.75" customHeight="1">
      <c r="A435" s="101"/>
      <c r="B435" s="101"/>
      <c r="D435" s="104"/>
      <c r="F435" s="105"/>
    </row>
    <row r="436" ht="15.75" customHeight="1">
      <c r="A436" s="101"/>
      <c r="B436" s="101"/>
      <c r="D436" s="104"/>
      <c r="F436" s="105"/>
    </row>
    <row r="437" ht="15.75" customHeight="1">
      <c r="A437" s="101"/>
      <c r="B437" s="101"/>
      <c r="D437" s="104"/>
      <c r="F437" s="105"/>
    </row>
    <row r="438" ht="15.75" customHeight="1">
      <c r="A438" s="101"/>
      <c r="B438" s="101"/>
      <c r="D438" s="104"/>
      <c r="F438" s="105"/>
    </row>
    <row r="439" ht="15.75" customHeight="1">
      <c r="A439" s="101"/>
      <c r="B439" s="101"/>
      <c r="D439" s="104"/>
      <c r="F439" s="105"/>
    </row>
    <row r="440" ht="15.75" customHeight="1">
      <c r="A440" s="101"/>
      <c r="B440" s="101"/>
      <c r="D440" s="104"/>
      <c r="F440" s="105"/>
    </row>
    <row r="441" ht="15.75" customHeight="1">
      <c r="A441" s="101"/>
      <c r="B441" s="101"/>
      <c r="D441" s="104"/>
      <c r="F441" s="105"/>
    </row>
    <row r="442" ht="15.75" customHeight="1">
      <c r="A442" s="101"/>
      <c r="B442" s="101"/>
      <c r="D442" s="104"/>
      <c r="F442" s="105"/>
    </row>
    <row r="443" ht="15.75" customHeight="1">
      <c r="A443" s="101"/>
      <c r="B443" s="101"/>
      <c r="D443" s="104"/>
      <c r="F443" s="105"/>
    </row>
    <row r="444" ht="15.75" customHeight="1">
      <c r="A444" s="101"/>
      <c r="B444" s="101"/>
      <c r="D444" s="104"/>
      <c r="F444" s="105"/>
    </row>
    <row r="445" ht="15.75" customHeight="1">
      <c r="A445" s="101"/>
      <c r="B445" s="101"/>
      <c r="D445" s="104"/>
      <c r="F445" s="105"/>
    </row>
    <row r="446" ht="15.75" customHeight="1">
      <c r="A446" s="101"/>
      <c r="B446" s="101"/>
      <c r="D446" s="104"/>
      <c r="F446" s="105"/>
    </row>
    <row r="447" ht="15.75" customHeight="1">
      <c r="A447" s="101"/>
      <c r="B447" s="101"/>
      <c r="D447" s="104"/>
      <c r="F447" s="105"/>
    </row>
    <row r="448" ht="15.75" customHeight="1">
      <c r="A448" s="101"/>
      <c r="B448" s="101"/>
      <c r="D448" s="104"/>
      <c r="F448" s="105"/>
    </row>
    <row r="449" ht="15.75" customHeight="1">
      <c r="A449" s="101"/>
      <c r="B449" s="101"/>
      <c r="D449" s="104"/>
      <c r="F449" s="105"/>
    </row>
    <row r="450" ht="15.75" customHeight="1">
      <c r="A450" s="101"/>
      <c r="B450" s="101"/>
      <c r="D450" s="104"/>
      <c r="F450" s="105"/>
    </row>
    <row r="451" ht="15.75" customHeight="1">
      <c r="A451" s="101"/>
      <c r="B451" s="101"/>
      <c r="D451" s="104"/>
      <c r="F451" s="105"/>
    </row>
    <row r="452" ht="15.75" customHeight="1">
      <c r="A452" s="101"/>
      <c r="B452" s="101"/>
      <c r="D452" s="104"/>
      <c r="F452" s="105"/>
    </row>
    <row r="453" ht="15.75" customHeight="1">
      <c r="A453" s="101"/>
      <c r="B453" s="101"/>
      <c r="D453" s="104"/>
      <c r="F453" s="105"/>
    </row>
    <row r="454" ht="15.75" customHeight="1">
      <c r="A454" s="101"/>
      <c r="B454" s="101"/>
      <c r="D454" s="104"/>
      <c r="F454" s="105"/>
    </row>
    <row r="455" ht="15.75" customHeight="1">
      <c r="A455" s="101"/>
      <c r="B455" s="101"/>
      <c r="D455" s="104"/>
      <c r="F455" s="105"/>
    </row>
    <row r="456" ht="15.75" customHeight="1">
      <c r="A456" s="101"/>
      <c r="B456" s="101"/>
      <c r="D456" s="104"/>
      <c r="F456" s="105"/>
    </row>
    <row r="457" ht="15.75" customHeight="1">
      <c r="A457" s="101"/>
      <c r="B457" s="101"/>
      <c r="D457" s="104"/>
      <c r="F457" s="105"/>
    </row>
    <row r="458" ht="15.75" customHeight="1">
      <c r="A458" s="101"/>
      <c r="B458" s="101"/>
      <c r="D458" s="104"/>
      <c r="F458" s="105"/>
    </row>
    <row r="459" ht="15.75" customHeight="1">
      <c r="A459" s="101"/>
      <c r="B459" s="101"/>
      <c r="D459" s="104"/>
      <c r="F459" s="105"/>
    </row>
    <row r="460" ht="15.75" customHeight="1">
      <c r="A460" s="101"/>
      <c r="B460" s="101"/>
      <c r="D460" s="104"/>
      <c r="F460" s="105"/>
    </row>
    <row r="461" ht="15.75" customHeight="1">
      <c r="A461" s="101"/>
      <c r="B461" s="101"/>
      <c r="D461" s="104"/>
      <c r="F461" s="105"/>
    </row>
    <row r="462" ht="15.75" customHeight="1">
      <c r="A462" s="101"/>
      <c r="B462" s="101"/>
      <c r="D462" s="104"/>
      <c r="F462" s="105"/>
    </row>
    <row r="463" ht="15.75" customHeight="1">
      <c r="A463" s="101"/>
      <c r="B463" s="101"/>
      <c r="D463" s="104"/>
      <c r="F463" s="105"/>
    </row>
    <row r="464" ht="15.75" customHeight="1">
      <c r="A464" s="101"/>
      <c r="B464" s="101"/>
      <c r="D464" s="104"/>
      <c r="F464" s="105"/>
    </row>
    <row r="465" ht="15.75" customHeight="1">
      <c r="A465" s="101"/>
      <c r="B465" s="101"/>
      <c r="D465" s="104"/>
      <c r="F465" s="105"/>
    </row>
    <row r="466" ht="15.75" customHeight="1">
      <c r="A466" s="101"/>
      <c r="B466" s="101"/>
      <c r="D466" s="104"/>
      <c r="F466" s="105"/>
    </row>
    <row r="467" ht="15.75" customHeight="1">
      <c r="A467" s="101"/>
      <c r="B467" s="101"/>
      <c r="D467" s="104"/>
      <c r="F467" s="105"/>
    </row>
    <row r="468" ht="15.75" customHeight="1">
      <c r="A468" s="101"/>
      <c r="B468" s="101"/>
      <c r="D468" s="104"/>
      <c r="F468" s="105"/>
    </row>
    <row r="469" ht="15.75" customHeight="1">
      <c r="A469" s="101"/>
      <c r="B469" s="101"/>
      <c r="D469" s="104"/>
      <c r="F469" s="105"/>
    </row>
    <row r="470" ht="15.75" customHeight="1">
      <c r="A470" s="101"/>
      <c r="B470" s="101"/>
      <c r="D470" s="104"/>
      <c r="F470" s="105"/>
    </row>
    <row r="471" ht="15.75" customHeight="1">
      <c r="A471" s="101"/>
      <c r="B471" s="101"/>
      <c r="D471" s="104"/>
      <c r="F471" s="105"/>
    </row>
    <row r="472" ht="15.75" customHeight="1">
      <c r="A472" s="101"/>
      <c r="B472" s="101"/>
      <c r="D472" s="104"/>
      <c r="F472" s="105"/>
    </row>
    <row r="473" ht="15.75" customHeight="1">
      <c r="A473" s="101"/>
      <c r="B473" s="101"/>
      <c r="D473" s="104"/>
      <c r="F473" s="105"/>
    </row>
    <row r="474" ht="15.75" customHeight="1">
      <c r="A474" s="101"/>
      <c r="B474" s="101"/>
      <c r="D474" s="104"/>
      <c r="F474" s="105"/>
    </row>
    <row r="475" ht="15.75" customHeight="1">
      <c r="A475" s="101"/>
      <c r="B475" s="101"/>
      <c r="D475" s="104"/>
      <c r="F475" s="105"/>
    </row>
    <row r="476" ht="15.75" customHeight="1">
      <c r="A476" s="101"/>
      <c r="B476" s="101"/>
      <c r="D476" s="104"/>
      <c r="F476" s="105"/>
    </row>
    <row r="477" ht="15.75" customHeight="1">
      <c r="A477" s="101"/>
      <c r="B477" s="101"/>
      <c r="D477" s="104"/>
      <c r="F477" s="105"/>
    </row>
    <row r="478" ht="15.75" customHeight="1">
      <c r="A478" s="101"/>
      <c r="B478" s="101"/>
      <c r="D478" s="104"/>
      <c r="F478" s="105"/>
    </row>
    <row r="479" ht="15.75" customHeight="1">
      <c r="A479" s="101"/>
      <c r="B479" s="101"/>
      <c r="D479" s="104"/>
      <c r="F479" s="105"/>
    </row>
    <row r="480" ht="15.75" customHeight="1">
      <c r="A480" s="101"/>
      <c r="B480" s="101"/>
      <c r="D480" s="104"/>
      <c r="F480" s="105"/>
    </row>
    <row r="481" ht="15.75" customHeight="1">
      <c r="A481" s="101"/>
      <c r="B481" s="101"/>
      <c r="D481" s="104"/>
      <c r="F481" s="105"/>
    </row>
    <row r="482" ht="15.75" customHeight="1">
      <c r="A482" s="101"/>
      <c r="B482" s="101"/>
      <c r="D482" s="104"/>
      <c r="F482" s="105"/>
    </row>
    <row r="483" ht="15.75" customHeight="1">
      <c r="A483" s="101"/>
      <c r="B483" s="101"/>
      <c r="D483" s="104"/>
      <c r="F483" s="105"/>
    </row>
    <row r="484" ht="15.75" customHeight="1">
      <c r="A484" s="101"/>
      <c r="B484" s="101"/>
      <c r="D484" s="104"/>
      <c r="F484" s="105"/>
    </row>
    <row r="485" ht="15.75" customHeight="1">
      <c r="A485" s="101"/>
      <c r="B485" s="101"/>
      <c r="D485" s="104"/>
      <c r="F485" s="105"/>
    </row>
    <row r="486" ht="15.75" customHeight="1">
      <c r="A486" s="101"/>
      <c r="B486" s="101"/>
      <c r="D486" s="104"/>
      <c r="F486" s="105"/>
    </row>
    <row r="487" ht="15.75" customHeight="1">
      <c r="A487" s="101"/>
      <c r="B487" s="101"/>
      <c r="D487" s="104"/>
      <c r="F487" s="105"/>
    </row>
    <row r="488" ht="15.75" customHeight="1">
      <c r="A488" s="101"/>
      <c r="B488" s="101"/>
      <c r="D488" s="104"/>
      <c r="F488" s="105"/>
    </row>
    <row r="489" ht="15.75" customHeight="1">
      <c r="A489" s="101"/>
      <c r="B489" s="101"/>
      <c r="D489" s="104"/>
      <c r="F489" s="105"/>
    </row>
    <row r="490" ht="15.75" customHeight="1">
      <c r="A490" s="101"/>
      <c r="B490" s="101"/>
      <c r="D490" s="104"/>
      <c r="F490" s="105"/>
    </row>
    <row r="491" ht="15.75" customHeight="1">
      <c r="A491" s="101"/>
      <c r="B491" s="101"/>
      <c r="D491" s="104"/>
      <c r="F491" s="105"/>
    </row>
    <row r="492" ht="15.75" customHeight="1">
      <c r="A492" s="101"/>
      <c r="B492" s="101"/>
      <c r="D492" s="104"/>
      <c r="F492" s="105"/>
    </row>
    <row r="493" ht="15.75" customHeight="1">
      <c r="A493" s="101"/>
      <c r="B493" s="101"/>
      <c r="D493" s="104"/>
      <c r="F493" s="105"/>
    </row>
    <row r="494" ht="15.75" customHeight="1">
      <c r="A494" s="101"/>
      <c r="B494" s="101"/>
      <c r="D494" s="104"/>
      <c r="F494" s="105"/>
    </row>
    <row r="495" ht="15.75" customHeight="1">
      <c r="A495" s="101"/>
      <c r="B495" s="101"/>
      <c r="D495" s="104"/>
      <c r="F495" s="105"/>
    </row>
    <row r="496" ht="15.75" customHeight="1">
      <c r="A496" s="101"/>
      <c r="B496" s="101"/>
      <c r="D496" s="104"/>
      <c r="F496" s="105"/>
    </row>
    <row r="497" ht="15.75" customHeight="1">
      <c r="A497" s="101"/>
      <c r="B497" s="101"/>
      <c r="D497" s="104"/>
      <c r="F497" s="105"/>
    </row>
    <row r="498" ht="15.75" customHeight="1">
      <c r="A498" s="101"/>
      <c r="B498" s="101"/>
      <c r="D498" s="104"/>
      <c r="F498" s="105"/>
    </row>
    <row r="499" ht="15.75" customHeight="1">
      <c r="A499" s="101"/>
      <c r="B499" s="101"/>
      <c r="D499" s="104"/>
      <c r="F499" s="105"/>
    </row>
    <row r="500" ht="15.75" customHeight="1">
      <c r="A500" s="101"/>
      <c r="B500" s="101"/>
      <c r="D500" s="104"/>
      <c r="F500" s="105"/>
    </row>
    <row r="501" ht="15.75" customHeight="1">
      <c r="A501" s="101"/>
      <c r="B501" s="101"/>
      <c r="D501" s="104"/>
      <c r="F501" s="105"/>
    </row>
    <row r="502" ht="15.75" customHeight="1">
      <c r="A502" s="101"/>
      <c r="B502" s="101"/>
      <c r="D502" s="104"/>
      <c r="F502" s="105"/>
    </row>
    <row r="503" ht="15.75" customHeight="1">
      <c r="A503" s="101"/>
      <c r="B503" s="101"/>
      <c r="D503" s="104"/>
      <c r="F503" s="105"/>
    </row>
    <row r="504" ht="15.75" customHeight="1">
      <c r="A504" s="101"/>
      <c r="B504" s="101"/>
      <c r="D504" s="104"/>
      <c r="F504" s="105"/>
    </row>
    <row r="505" ht="15.75" customHeight="1">
      <c r="A505" s="101"/>
      <c r="B505" s="101"/>
      <c r="D505" s="104"/>
      <c r="F505" s="105"/>
    </row>
    <row r="506" ht="15.75" customHeight="1">
      <c r="A506" s="101"/>
      <c r="B506" s="101"/>
      <c r="D506" s="104"/>
      <c r="F506" s="105"/>
    </row>
    <row r="507" ht="15.75" customHeight="1">
      <c r="A507" s="101"/>
      <c r="B507" s="101"/>
      <c r="D507" s="104"/>
      <c r="F507" s="105"/>
    </row>
    <row r="508" ht="15.75" customHeight="1">
      <c r="A508" s="101"/>
      <c r="B508" s="101"/>
      <c r="D508" s="104"/>
      <c r="F508" s="105"/>
    </row>
    <row r="509" ht="15.75" customHeight="1">
      <c r="A509" s="101"/>
      <c r="B509" s="101"/>
      <c r="D509" s="104"/>
      <c r="F509" s="105"/>
    </row>
    <row r="510" ht="15.75" customHeight="1">
      <c r="A510" s="101"/>
      <c r="B510" s="101"/>
      <c r="D510" s="104"/>
      <c r="F510" s="105"/>
    </row>
    <row r="511" ht="15.75" customHeight="1">
      <c r="A511" s="101"/>
      <c r="B511" s="101"/>
      <c r="D511" s="104"/>
      <c r="F511" s="105"/>
    </row>
    <row r="512" ht="15.75" customHeight="1">
      <c r="A512" s="101"/>
      <c r="B512" s="101"/>
      <c r="D512" s="104"/>
      <c r="F512" s="105"/>
    </row>
    <row r="513" ht="15.75" customHeight="1">
      <c r="A513" s="101"/>
      <c r="B513" s="101"/>
      <c r="D513" s="104"/>
      <c r="F513" s="105"/>
    </row>
    <row r="514" ht="15.75" customHeight="1">
      <c r="A514" s="101"/>
      <c r="B514" s="101"/>
      <c r="D514" s="104"/>
      <c r="F514" s="105"/>
    </row>
    <row r="515" ht="15.75" customHeight="1">
      <c r="A515" s="101"/>
      <c r="B515" s="101"/>
      <c r="D515" s="104"/>
      <c r="F515" s="105"/>
    </row>
    <row r="516" ht="15.75" customHeight="1">
      <c r="A516" s="101"/>
      <c r="B516" s="101"/>
      <c r="D516" s="104"/>
      <c r="F516" s="105"/>
    </row>
    <row r="517" ht="15.75" customHeight="1">
      <c r="A517" s="101"/>
      <c r="B517" s="101"/>
      <c r="D517" s="104"/>
      <c r="F517" s="105"/>
    </row>
    <row r="518" ht="15.75" customHeight="1">
      <c r="A518" s="101"/>
      <c r="B518" s="101"/>
      <c r="D518" s="104"/>
      <c r="F518" s="105"/>
    </row>
    <row r="519" ht="15.75" customHeight="1">
      <c r="A519" s="101"/>
      <c r="B519" s="101"/>
      <c r="D519" s="104"/>
      <c r="F519" s="105"/>
    </row>
    <row r="520" ht="15.75" customHeight="1">
      <c r="A520" s="101"/>
      <c r="B520" s="101"/>
      <c r="D520" s="104"/>
      <c r="F520" s="105"/>
    </row>
    <row r="521" ht="15.75" customHeight="1">
      <c r="A521" s="101"/>
      <c r="B521" s="101"/>
      <c r="D521" s="104"/>
      <c r="F521" s="105"/>
    </row>
    <row r="522" ht="15.75" customHeight="1">
      <c r="A522" s="101"/>
      <c r="B522" s="101"/>
      <c r="D522" s="104"/>
      <c r="F522" s="105"/>
    </row>
    <row r="523" ht="15.75" customHeight="1">
      <c r="A523" s="101"/>
      <c r="B523" s="101"/>
      <c r="D523" s="104"/>
      <c r="F523" s="105"/>
    </row>
    <row r="524" ht="15.75" customHeight="1">
      <c r="A524" s="101"/>
      <c r="B524" s="101"/>
      <c r="D524" s="104"/>
      <c r="F524" s="105"/>
    </row>
    <row r="525" ht="15.75" customHeight="1">
      <c r="A525" s="101"/>
      <c r="B525" s="101"/>
      <c r="D525" s="104"/>
      <c r="F525" s="105"/>
    </row>
    <row r="526" ht="15.75" customHeight="1">
      <c r="A526" s="101"/>
      <c r="B526" s="101"/>
      <c r="D526" s="104"/>
      <c r="F526" s="105"/>
    </row>
    <row r="527" ht="15.75" customHeight="1">
      <c r="A527" s="101"/>
      <c r="B527" s="101"/>
      <c r="D527" s="104"/>
      <c r="F527" s="105"/>
    </row>
    <row r="528" ht="15.75" customHeight="1">
      <c r="A528" s="101"/>
      <c r="B528" s="101"/>
      <c r="D528" s="104"/>
      <c r="F528" s="105"/>
    </row>
    <row r="529" ht="15.75" customHeight="1">
      <c r="A529" s="101"/>
      <c r="B529" s="101"/>
      <c r="D529" s="104"/>
      <c r="F529" s="105"/>
    </row>
    <row r="530" ht="15.75" customHeight="1">
      <c r="A530" s="101"/>
      <c r="B530" s="101"/>
      <c r="D530" s="104"/>
      <c r="F530" s="105"/>
    </row>
    <row r="531" ht="15.75" customHeight="1">
      <c r="A531" s="101"/>
      <c r="B531" s="101"/>
      <c r="D531" s="104"/>
      <c r="F531" s="105"/>
    </row>
    <row r="532" ht="15.75" customHeight="1">
      <c r="A532" s="101"/>
      <c r="B532" s="101"/>
      <c r="D532" s="104"/>
      <c r="F532" s="105"/>
    </row>
    <row r="533" ht="15.75" customHeight="1">
      <c r="A533" s="101"/>
      <c r="B533" s="101"/>
      <c r="D533" s="104"/>
      <c r="F533" s="105"/>
    </row>
    <row r="534" ht="15.75" customHeight="1">
      <c r="A534" s="101"/>
      <c r="B534" s="101"/>
      <c r="D534" s="104"/>
      <c r="F534" s="105"/>
    </row>
    <row r="535" ht="15.75" customHeight="1">
      <c r="A535" s="101"/>
      <c r="B535" s="101"/>
      <c r="D535" s="104"/>
      <c r="F535" s="105"/>
    </row>
    <row r="536" ht="15.75" customHeight="1">
      <c r="A536" s="101"/>
      <c r="B536" s="101"/>
      <c r="D536" s="104"/>
      <c r="F536" s="105"/>
    </row>
    <row r="537" ht="15.75" customHeight="1">
      <c r="A537" s="101"/>
      <c r="B537" s="101"/>
      <c r="D537" s="104"/>
      <c r="F537" s="105"/>
    </row>
    <row r="538" ht="15.75" customHeight="1">
      <c r="A538" s="101"/>
      <c r="B538" s="101"/>
      <c r="D538" s="104"/>
      <c r="F538" s="105"/>
    </row>
    <row r="539" ht="15.75" customHeight="1">
      <c r="A539" s="101"/>
      <c r="B539" s="101"/>
      <c r="D539" s="104"/>
      <c r="F539" s="105"/>
    </row>
    <row r="540" ht="15.75" customHeight="1">
      <c r="A540" s="101"/>
      <c r="B540" s="101"/>
      <c r="D540" s="104"/>
      <c r="F540" s="105"/>
    </row>
    <row r="541" ht="15.75" customHeight="1">
      <c r="A541" s="101"/>
      <c r="B541" s="101"/>
      <c r="D541" s="104"/>
      <c r="F541" s="105"/>
    </row>
    <row r="542" ht="15.75" customHeight="1">
      <c r="A542" s="101"/>
      <c r="B542" s="101"/>
      <c r="D542" s="104"/>
      <c r="F542" s="105"/>
    </row>
    <row r="543" ht="15.75" customHeight="1">
      <c r="A543" s="101"/>
      <c r="B543" s="101"/>
      <c r="D543" s="104"/>
      <c r="F543" s="105"/>
    </row>
    <row r="544" ht="15.75" customHeight="1">
      <c r="A544" s="101"/>
      <c r="B544" s="101"/>
      <c r="D544" s="104"/>
      <c r="F544" s="105"/>
    </row>
    <row r="545" ht="15.75" customHeight="1">
      <c r="A545" s="101"/>
      <c r="B545" s="101"/>
      <c r="D545" s="104"/>
      <c r="F545" s="105"/>
    </row>
    <row r="546" ht="15.75" customHeight="1">
      <c r="A546" s="101"/>
      <c r="B546" s="101"/>
      <c r="D546" s="104"/>
      <c r="F546" s="105"/>
    </row>
    <row r="547" ht="15.75" customHeight="1">
      <c r="A547" s="101"/>
      <c r="B547" s="101"/>
      <c r="D547" s="104"/>
      <c r="F547" s="105"/>
    </row>
    <row r="548" ht="15.75" customHeight="1">
      <c r="A548" s="101"/>
      <c r="B548" s="101"/>
      <c r="D548" s="104"/>
      <c r="F548" s="105"/>
    </row>
    <row r="549" ht="15.75" customHeight="1">
      <c r="A549" s="101"/>
      <c r="B549" s="101"/>
      <c r="D549" s="104"/>
      <c r="F549" s="105"/>
    </row>
    <row r="550" ht="15.75" customHeight="1">
      <c r="A550" s="101"/>
      <c r="B550" s="101"/>
      <c r="D550" s="104"/>
      <c r="F550" s="105"/>
    </row>
    <row r="551" ht="15.75" customHeight="1">
      <c r="A551" s="101"/>
      <c r="B551" s="101"/>
      <c r="D551" s="104"/>
      <c r="F551" s="105"/>
    </row>
    <row r="552" ht="15.75" customHeight="1">
      <c r="A552" s="101"/>
      <c r="B552" s="101"/>
      <c r="D552" s="104"/>
      <c r="F552" s="105"/>
    </row>
    <row r="553" ht="15.75" customHeight="1">
      <c r="A553" s="101"/>
      <c r="B553" s="101"/>
      <c r="D553" s="104"/>
      <c r="F553" s="105"/>
    </row>
    <row r="554" ht="15.75" customHeight="1">
      <c r="A554" s="101"/>
      <c r="B554" s="101"/>
      <c r="D554" s="104"/>
      <c r="F554" s="105"/>
    </row>
    <row r="555" ht="15.75" customHeight="1">
      <c r="A555" s="101"/>
      <c r="B555" s="101"/>
      <c r="D555" s="104"/>
      <c r="F555" s="105"/>
    </row>
    <row r="556" ht="15.75" customHeight="1">
      <c r="A556" s="101"/>
      <c r="B556" s="101"/>
      <c r="D556" s="104"/>
      <c r="F556" s="105"/>
    </row>
    <row r="557" ht="15.75" customHeight="1">
      <c r="A557" s="101"/>
      <c r="B557" s="101"/>
      <c r="D557" s="104"/>
      <c r="F557" s="105"/>
    </row>
    <row r="558" ht="15.75" customHeight="1">
      <c r="A558" s="101"/>
      <c r="B558" s="101"/>
      <c r="D558" s="104"/>
      <c r="F558" s="105"/>
    </row>
    <row r="559" ht="15.75" customHeight="1">
      <c r="A559" s="101"/>
      <c r="B559" s="101"/>
      <c r="D559" s="104"/>
      <c r="F559" s="105"/>
    </row>
    <row r="560" ht="15.75" customHeight="1">
      <c r="A560" s="101"/>
      <c r="B560" s="101"/>
      <c r="D560" s="104"/>
      <c r="F560" s="105"/>
    </row>
    <row r="561" ht="15.75" customHeight="1">
      <c r="A561" s="101"/>
      <c r="B561" s="101"/>
      <c r="D561" s="104"/>
      <c r="F561" s="105"/>
    </row>
    <row r="562" ht="15.75" customHeight="1">
      <c r="A562" s="101"/>
      <c r="B562" s="101"/>
      <c r="D562" s="104"/>
      <c r="F562" s="105"/>
    </row>
    <row r="563" ht="15.75" customHeight="1">
      <c r="A563" s="101"/>
      <c r="B563" s="101"/>
      <c r="D563" s="104"/>
      <c r="F563" s="105"/>
    </row>
    <row r="564" ht="15.75" customHeight="1">
      <c r="A564" s="101"/>
      <c r="B564" s="101"/>
      <c r="D564" s="104"/>
      <c r="F564" s="105"/>
    </row>
    <row r="565" ht="15.75" customHeight="1">
      <c r="A565" s="101"/>
      <c r="B565" s="101"/>
      <c r="D565" s="104"/>
      <c r="F565" s="105"/>
    </row>
    <row r="566" ht="15.75" customHeight="1">
      <c r="A566" s="101"/>
      <c r="B566" s="101"/>
      <c r="D566" s="104"/>
      <c r="F566" s="105"/>
    </row>
    <row r="567" ht="15.75" customHeight="1">
      <c r="A567" s="101"/>
      <c r="B567" s="101"/>
      <c r="D567" s="104"/>
      <c r="F567" s="105"/>
    </row>
    <row r="568" ht="15.75" customHeight="1">
      <c r="A568" s="101"/>
      <c r="B568" s="101"/>
      <c r="D568" s="104"/>
      <c r="F568" s="105"/>
    </row>
    <row r="569" ht="15.75" customHeight="1">
      <c r="A569" s="101"/>
      <c r="B569" s="101"/>
      <c r="D569" s="104"/>
      <c r="F569" s="105"/>
    </row>
    <row r="570" ht="15.75" customHeight="1">
      <c r="A570" s="101"/>
      <c r="B570" s="101"/>
      <c r="D570" s="104"/>
      <c r="F570" s="105"/>
    </row>
    <row r="571" ht="15.75" customHeight="1">
      <c r="A571" s="101"/>
      <c r="B571" s="101"/>
      <c r="D571" s="104"/>
      <c r="F571" s="105"/>
    </row>
    <row r="572" ht="15.75" customHeight="1">
      <c r="A572" s="101"/>
      <c r="B572" s="101"/>
      <c r="D572" s="104"/>
      <c r="F572" s="105"/>
    </row>
    <row r="573" ht="15.75" customHeight="1">
      <c r="A573" s="101"/>
      <c r="B573" s="101"/>
      <c r="D573" s="104"/>
      <c r="F573" s="105"/>
    </row>
    <row r="574" ht="15.75" customHeight="1">
      <c r="A574" s="101"/>
      <c r="B574" s="101"/>
      <c r="D574" s="104"/>
      <c r="F574" s="105"/>
    </row>
    <row r="575" ht="15.75" customHeight="1">
      <c r="A575" s="101"/>
      <c r="B575" s="101"/>
      <c r="D575" s="104"/>
      <c r="F575" s="105"/>
    </row>
    <row r="576" ht="15.75" customHeight="1">
      <c r="A576" s="101"/>
      <c r="B576" s="101"/>
      <c r="D576" s="104"/>
      <c r="F576" s="105"/>
    </row>
    <row r="577" ht="15.75" customHeight="1">
      <c r="A577" s="101"/>
      <c r="B577" s="101"/>
      <c r="D577" s="104"/>
      <c r="F577" s="105"/>
    </row>
    <row r="578" ht="15.75" customHeight="1">
      <c r="A578" s="101"/>
      <c r="B578" s="101"/>
      <c r="D578" s="104"/>
      <c r="F578" s="105"/>
    </row>
    <row r="579" ht="15.75" customHeight="1">
      <c r="A579" s="101"/>
      <c r="B579" s="101"/>
      <c r="D579" s="104"/>
      <c r="F579" s="105"/>
    </row>
    <row r="580" ht="15.75" customHeight="1">
      <c r="A580" s="101"/>
      <c r="B580" s="101"/>
      <c r="D580" s="104"/>
      <c r="F580" s="105"/>
    </row>
    <row r="581" ht="15.75" customHeight="1">
      <c r="A581" s="101"/>
      <c r="B581" s="101"/>
      <c r="D581" s="104"/>
      <c r="F581" s="105"/>
    </row>
    <row r="582" ht="15.75" customHeight="1">
      <c r="A582" s="101"/>
      <c r="B582" s="101"/>
      <c r="D582" s="104"/>
      <c r="F582" s="105"/>
    </row>
    <row r="583" ht="15.75" customHeight="1">
      <c r="A583" s="101"/>
      <c r="B583" s="101"/>
      <c r="D583" s="104"/>
      <c r="F583" s="105"/>
    </row>
    <row r="584" ht="15.75" customHeight="1">
      <c r="A584" s="101"/>
      <c r="B584" s="101"/>
      <c r="D584" s="104"/>
      <c r="F584" s="105"/>
    </row>
    <row r="585" ht="15.75" customHeight="1">
      <c r="A585" s="101"/>
      <c r="B585" s="101"/>
      <c r="D585" s="104"/>
      <c r="F585" s="105"/>
    </row>
    <row r="586" ht="15.75" customHeight="1">
      <c r="A586" s="101"/>
      <c r="B586" s="101"/>
      <c r="D586" s="104"/>
      <c r="F586" s="105"/>
    </row>
    <row r="587" ht="15.75" customHeight="1">
      <c r="A587" s="101"/>
      <c r="B587" s="101"/>
      <c r="D587" s="104"/>
      <c r="F587" s="105"/>
    </row>
    <row r="588" ht="15.75" customHeight="1">
      <c r="A588" s="101"/>
      <c r="B588" s="101"/>
      <c r="D588" s="104"/>
      <c r="F588" s="105"/>
    </row>
    <row r="589" ht="15.75" customHeight="1">
      <c r="A589" s="101"/>
      <c r="B589" s="101"/>
      <c r="D589" s="104"/>
      <c r="F589" s="105"/>
    </row>
    <row r="590" ht="15.75" customHeight="1">
      <c r="A590" s="101"/>
      <c r="B590" s="101"/>
      <c r="D590" s="104"/>
      <c r="F590" s="105"/>
    </row>
    <row r="591" ht="15.75" customHeight="1">
      <c r="A591" s="101"/>
      <c r="B591" s="101"/>
      <c r="D591" s="104"/>
      <c r="F591" s="105"/>
    </row>
    <row r="592" ht="15.75" customHeight="1">
      <c r="A592" s="101"/>
      <c r="B592" s="101"/>
      <c r="D592" s="104"/>
      <c r="F592" s="105"/>
    </row>
    <row r="593" ht="15.75" customHeight="1">
      <c r="A593" s="101"/>
      <c r="B593" s="101"/>
      <c r="D593" s="104"/>
      <c r="F593" s="105"/>
    </row>
    <row r="594" ht="15.75" customHeight="1">
      <c r="A594" s="101"/>
      <c r="B594" s="101"/>
      <c r="D594" s="104"/>
      <c r="F594" s="105"/>
    </row>
    <row r="595" ht="15.75" customHeight="1">
      <c r="A595" s="101"/>
      <c r="B595" s="101"/>
      <c r="D595" s="104"/>
      <c r="F595" s="105"/>
    </row>
    <row r="596" ht="15.75" customHeight="1">
      <c r="A596" s="101"/>
      <c r="B596" s="101"/>
      <c r="D596" s="104"/>
      <c r="F596" s="105"/>
    </row>
    <row r="597" ht="15.75" customHeight="1">
      <c r="A597" s="101"/>
      <c r="B597" s="101"/>
      <c r="D597" s="104"/>
      <c r="F597" s="105"/>
    </row>
    <row r="598" ht="15.75" customHeight="1">
      <c r="A598" s="101"/>
      <c r="B598" s="101"/>
      <c r="D598" s="104"/>
      <c r="F598" s="105"/>
    </row>
    <row r="599" ht="15.75" customHeight="1">
      <c r="A599" s="101"/>
      <c r="B599" s="101"/>
      <c r="D599" s="104"/>
      <c r="F599" s="105"/>
    </row>
    <row r="600" ht="15.75" customHeight="1">
      <c r="A600" s="101"/>
      <c r="B600" s="101"/>
      <c r="D600" s="104"/>
      <c r="F600" s="105"/>
    </row>
    <row r="601" ht="15.75" customHeight="1">
      <c r="A601" s="101"/>
      <c r="B601" s="101"/>
      <c r="D601" s="104"/>
      <c r="F601" s="105"/>
    </row>
    <row r="602" ht="15.75" customHeight="1">
      <c r="A602" s="101"/>
      <c r="B602" s="101"/>
      <c r="D602" s="104"/>
      <c r="F602" s="105"/>
    </row>
    <row r="603" ht="15.75" customHeight="1">
      <c r="A603" s="101"/>
      <c r="B603" s="101"/>
      <c r="D603" s="104"/>
      <c r="F603" s="105"/>
    </row>
    <row r="604" ht="15.75" customHeight="1">
      <c r="A604" s="101"/>
      <c r="B604" s="101"/>
      <c r="D604" s="104"/>
      <c r="F604" s="105"/>
    </row>
    <row r="605" ht="15.75" customHeight="1">
      <c r="A605" s="101"/>
      <c r="B605" s="101"/>
      <c r="D605" s="104"/>
      <c r="F605" s="105"/>
    </row>
    <row r="606" ht="15.75" customHeight="1">
      <c r="A606" s="101"/>
      <c r="B606" s="101"/>
      <c r="D606" s="104"/>
      <c r="F606" s="105"/>
    </row>
    <row r="607" ht="15.75" customHeight="1">
      <c r="A607" s="101"/>
      <c r="B607" s="101"/>
      <c r="D607" s="104"/>
      <c r="F607" s="105"/>
    </row>
    <row r="608" ht="15.75" customHeight="1">
      <c r="A608" s="101"/>
      <c r="B608" s="101"/>
      <c r="D608" s="104"/>
      <c r="F608" s="105"/>
    </row>
    <row r="609" ht="15.75" customHeight="1">
      <c r="A609" s="101"/>
      <c r="B609" s="101"/>
      <c r="D609" s="104"/>
      <c r="F609" s="105"/>
    </row>
    <row r="610" ht="15.75" customHeight="1">
      <c r="A610" s="101"/>
      <c r="B610" s="101"/>
      <c r="D610" s="104"/>
      <c r="F610" s="105"/>
    </row>
    <row r="611" ht="15.75" customHeight="1">
      <c r="A611" s="101"/>
      <c r="B611" s="101"/>
      <c r="D611" s="104"/>
      <c r="F611" s="105"/>
    </row>
    <row r="612" ht="15.75" customHeight="1">
      <c r="A612" s="101"/>
      <c r="B612" s="101"/>
      <c r="D612" s="104"/>
      <c r="F612" s="105"/>
    </row>
    <row r="613" ht="15.75" customHeight="1">
      <c r="A613" s="101"/>
      <c r="B613" s="101"/>
      <c r="D613" s="104"/>
      <c r="F613" s="105"/>
    </row>
    <row r="614" ht="15.75" customHeight="1">
      <c r="A614" s="101"/>
      <c r="B614" s="101"/>
      <c r="D614" s="104"/>
      <c r="F614" s="105"/>
    </row>
    <row r="615" ht="15.75" customHeight="1">
      <c r="A615" s="101"/>
      <c r="B615" s="101"/>
      <c r="D615" s="104"/>
      <c r="F615" s="105"/>
    </row>
    <row r="616" ht="15.75" customHeight="1">
      <c r="A616" s="101"/>
      <c r="B616" s="101"/>
      <c r="D616" s="104"/>
      <c r="F616" s="105"/>
    </row>
    <row r="617" ht="15.75" customHeight="1">
      <c r="A617" s="101"/>
      <c r="B617" s="101"/>
      <c r="D617" s="104"/>
      <c r="F617" s="105"/>
    </row>
    <row r="618" ht="15.75" customHeight="1">
      <c r="A618" s="101"/>
      <c r="B618" s="101"/>
      <c r="D618" s="104"/>
      <c r="F618" s="105"/>
    </row>
    <row r="619" ht="15.75" customHeight="1">
      <c r="A619" s="101"/>
      <c r="B619" s="101"/>
      <c r="D619" s="104"/>
      <c r="F619" s="105"/>
    </row>
    <row r="620" ht="15.75" customHeight="1">
      <c r="A620" s="101"/>
      <c r="B620" s="101"/>
      <c r="D620" s="104"/>
      <c r="F620" s="105"/>
    </row>
    <row r="621" ht="15.75" customHeight="1">
      <c r="A621" s="101"/>
      <c r="B621" s="101"/>
      <c r="D621" s="104"/>
      <c r="F621" s="105"/>
    </row>
    <row r="622" ht="15.75" customHeight="1">
      <c r="A622" s="101"/>
      <c r="B622" s="101"/>
      <c r="D622" s="104"/>
      <c r="F622" s="105"/>
    </row>
    <row r="623" ht="15.75" customHeight="1">
      <c r="A623" s="101"/>
      <c r="B623" s="101"/>
      <c r="D623" s="104"/>
      <c r="F623" s="105"/>
    </row>
    <row r="624" ht="15.75" customHeight="1">
      <c r="A624" s="101"/>
      <c r="B624" s="101"/>
      <c r="D624" s="104"/>
      <c r="F624" s="105"/>
    </row>
    <row r="625" ht="15.75" customHeight="1">
      <c r="A625" s="101"/>
      <c r="B625" s="101"/>
      <c r="D625" s="104"/>
      <c r="F625" s="105"/>
    </row>
    <row r="626" ht="15.75" customHeight="1">
      <c r="A626" s="101"/>
      <c r="B626" s="101"/>
      <c r="D626" s="104"/>
      <c r="F626" s="105"/>
    </row>
    <row r="627" ht="15.75" customHeight="1">
      <c r="A627" s="101"/>
      <c r="B627" s="101"/>
      <c r="D627" s="104"/>
      <c r="F627" s="105"/>
    </row>
    <row r="628" ht="15.75" customHeight="1">
      <c r="A628" s="101"/>
      <c r="B628" s="101"/>
      <c r="D628" s="104"/>
      <c r="F628" s="105"/>
    </row>
    <row r="629" ht="15.75" customHeight="1">
      <c r="A629" s="101"/>
      <c r="B629" s="101"/>
      <c r="D629" s="104"/>
      <c r="F629" s="105"/>
    </row>
    <row r="630" ht="15.75" customHeight="1">
      <c r="A630" s="101"/>
      <c r="B630" s="101"/>
      <c r="D630" s="104"/>
      <c r="F630" s="105"/>
    </row>
    <row r="631" ht="15.75" customHeight="1">
      <c r="A631" s="101"/>
      <c r="B631" s="101"/>
      <c r="D631" s="104"/>
      <c r="F631" s="105"/>
    </row>
    <row r="632" ht="15.75" customHeight="1">
      <c r="A632" s="101"/>
      <c r="B632" s="101"/>
      <c r="D632" s="104"/>
      <c r="F632" s="105"/>
    </row>
    <row r="633" ht="15.75" customHeight="1">
      <c r="A633" s="101"/>
      <c r="B633" s="101"/>
      <c r="D633" s="104"/>
      <c r="F633" s="105"/>
    </row>
    <row r="634" ht="15.75" customHeight="1">
      <c r="A634" s="101"/>
      <c r="B634" s="101"/>
      <c r="D634" s="104"/>
      <c r="F634" s="105"/>
    </row>
    <row r="635" ht="15.75" customHeight="1">
      <c r="A635" s="101"/>
      <c r="B635" s="101"/>
      <c r="D635" s="104"/>
      <c r="F635" s="105"/>
    </row>
    <row r="636" ht="15.75" customHeight="1">
      <c r="A636" s="101"/>
      <c r="B636" s="101"/>
      <c r="D636" s="104"/>
      <c r="F636" s="105"/>
    </row>
    <row r="637" ht="15.75" customHeight="1">
      <c r="A637" s="101"/>
      <c r="B637" s="101"/>
      <c r="D637" s="104"/>
      <c r="F637" s="105"/>
    </row>
    <row r="638" ht="15.75" customHeight="1">
      <c r="A638" s="101"/>
      <c r="B638" s="101"/>
      <c r="D638" s="104"/>
      <c r="F638" s="105"/>
    </row>
    <row r="639" ht="15.75" customHeight="1">
      <c r="A639" s="101"/>
      <c r="B639" s="101"/>
      <c r="D639" s="104"/>
      <c r="F639" s="105"/>
    </row>
    <row r="640" ht="15.75" customHeight="1">
      <c r="A640" s="101"/>
      <c r="B640" s="101"/>
      <c r="D640" s="104"/>
      <c r="F640" s="105"/>
    </row>
    <row r="641" ht="15.75" customHeight="1">
      <c r="A641" s="101"/>
      <c r="B641" s="101"/>
      <c r="D641" s="104"/>
      <c r="F641" s="105"/>
    </row>
    <row r="642" ht="15.75" customHeight="1">
      <c r="A642" s="101"/>
      <c r="B642" s="101"/>
      <c r="D642" s="104"/>
      <c r="F642" s="105"/>
    </row>
    <row r="643" ht="15.75" customHeight="1">
      <c r="A643" s="101"/>
      <c r="B643" s="101"/>
      <c r="D643" s="104"/>
      <c r="F643" s="105"/>
    </row>
    <row r="644" ht="15.75" customHeight="1">
      <c r="A644" s="101"/>
      <c r="B644" s="101"/>
      <c r="D644" s="104"/>
      <c r="F644" s="105"/>
    </row>
    <row r="645" ht="15.75" customHeight="1">
      <c r="A645" s="101"/>
      <c r="B645" s="101"/>
      <c r="D645" s="104"/>
      <c r="F645" s="105"/>
    </row>
    <row r="646" ht="15.75" customHeight="1">
      <c r="A646" s="101"/>
      <c r="B646" s="101"/>
      <c r="D646" s="104"/>
      <c r="F646" s="105"/>
    </row>
    <row r="647" ht="15.75" customHeight="1">
      <c r="A647" s="101"/>
      <c r="B647" s="101"/>
      <c r="D647" s="104"/>
      <c r="F647" s="105"/>
    </row>
    <row r="648" ht="15.75" customHeight="1">
      <c r="A648" s="101"/>
      <c r="B648" s="101"/>
      <c r="D648" s="104"/>
      <c r="F648" s="105"/>
    </row>
    <row r="649" ht="15.75" customHeight="1">
      <c r="A649" s="101"/>
      <c r="B649" s="101"/>
      <c r="D649" s="104"/>
      <c r="F649" s="105"/>
    </row>
    <row r="650" ht="15.75" customHeight="1">
      <c r="A650" s="101"/>
      <c r="B650" s="101"/>
      <c r="D650" s="104"/>
      <c r="F650" s="105"/>
    </row>
    <row r="651" ht="15.75" customHeight="1">
      <c r="A651" s="101"/>
      <c r="B651" s="101"/>
      <c r="D651" s="104"/>
      <c r="F651" s="105"/>
    </row>
    <row r="652" ht="15.75" customHeight="1">
      <c r="A652" s="101"/>
      <c r="B652" s="101"/>
      <c r="D652" s="104"/>
      <c r="F652" s="105"/>
    </row>
    <row r="653" ht="15.75" customHeight="1">
      <c r="A653" s="101"/>
      <c r="B653" s="101"/>
      <c r="D653" s="104"/>
      <c r="F653" s="105"/>
    </row>
    <row r="654" ht="15.75" customHeight="1">
      <c r="A654" s="101"/>
      <c r="B654" s="101"/>
      <c r="D654" s="104"/>
      <c r="F654" s="105"/>
    </row>
    <row r="655" ht="15.75" customHeight="1">
      <c r="A655" s="101"/>
      <c r="B655" s="101"/>
      <c r="D655" s="104"/>
      <c r="F655" s="105"/>
    </row>
    <row r="656" ht="15.75" customHeight="1">
      <c r="A656" s="101"/>
      <c r="B656" s="101"/>
      <c r="D656" s="104"/>
      <c r="F656" s="105"/>
    </row>
    <row r="657" ht="15.75" customHeight="1">
      <c r="A657" s="101"/>
      <c r="B657" s="101"/>
      <c r="D657" s="104"/>
      <c r="F657" s="105"/>
    </row>
    <row r="658" ht="15.75" customHeight="1">
      <c r="A658" s="101"/>
      <c r="B658" s="101"/>
      <c r="D658" s="104"/>
      <c r="F658" s="105"/>
    </row>
    <row r="659" ht="15.75" customHeight="1">
      <c r="A659" s="101"/>
      <c r="B659" s="101"/>
      <c r="D659" s="104"/>
      <c r="F659" s="105"/>
    </row>
    <row r="660" ht="15.75" customHeight="1">
      <c r="A660" s="101"/>
      <c r="B660" s="101"/>
      <c r="D660" s="104"/>
      <c r="F660" s="105"/>
    </row>
    <row r="661" ht="15.75" customHeight="1">
      <c r="A661" s="101"/>
      <c r="B661" s="101"/>
      <c r="D661" s="104"/>
      <c r="F661" s="105"/>
    </row>
    <row r="662" ht="15.75" customHeight="1">
      <c r="A662" s="101"/>
      <c r="B662" s="101"/>
      <c r="D662" s="104"/>
      <c r="F662" s="105"/>
    </row>
    <row r="663" ht="15.75" customHeight="1">
      <c r="A663" s="101"/>
      <c r="B663" s="101"/>
      <c r="D663" s="104"/>
      <c r="F663" s="105"/>
    </row>
    <row r="664" ht="15.75" customHeight="1">
      <c r="A664" s="101"/>
      <c r="B664" s="101"/>
      <c r="D664" s="104"/>
      <c r="F664" s="105"/>
    </row>
    <row r="665" ht="15.75" customHeight="1">
      <c r="A665" s="101"/>
      <c r="B665" s="101"/>
      <c r="D665" s="104"/>
      <c r="F665" s="105"/>
    </row>
    <row r="666" ht="15.75" customHeight="1">
      <c r="A666" s="101"/>
      <c r="B666" s="101"/>
      <c r="D666" s="104"/>
      <c r="F666" s="105"/>
    </row>
    <row r="667" ht="15.75" customHeight="1">
      <c r="A667" s="101"/>
      <c r="B667" s="101"/>
      <c r="D667" s="104"/>
      <c r="F667" s="105"/>
    </row>
    <row r="668" ht="15.75" customHeight="1">
      <c r="A668" s="101"/>
      <c r="B668" s="101"/>
      <c r="D668" s="104"/>
      <c r="F668" s="105"/>
    </row>
    <row r="669" ht="15.75" customHeight="1">
      <c r="A669" s="101"/>
      <c r="B669" s="101"/>
      <c r="D669" s="104"/>
      <c r="F669" s="105"/>
    </row>
    <row r="670" ht="15.75" customHeight="1">
      <c r="A670" s="101"/>
      <c r="B670" s="101"/>
      <c r="D670" s="104"/>
      <c r="F670" s="105"/>
    </row>
    <row r="671" ht="15.75" customHeight="1">
      <c r="A671" s="101"/>
      <c r="B671" s="101"/>
      <c r="D671" s="104"/>
      <c r="F671" s="105"/>
    </row>
    <row r="672" ht="15.75" customHeight="1">
      <c r="A672" s="101"/>
      <c r="B672" s="101"/>
      <c r="D672" s="104"/>
      <c r="F672" s="105"/>
    </row>
    <row r="673" ht="15.75" customHeight="1">
      <c r="A673" s="101"/>
      <c r="B673" s="101"/>
      <c r="D673" s="104"/>
      <c r="F673" s="105"/>
    </row>
    <row r="674" ht="15.75" customHeight="1">
      <c r="A674" s="101"/>
      <c r="B674" s="101"/>
      <c r="D674" s="104"/>
      <c r="F674" s="105"/>
    </row>
    <row r="675" ht="15.75" customHeight="1">
      <c r="A675" s="101"/>
      <c r="B675" s="101"/>
      <c r="D675" s="104"/>
      <c r="F675" s="105"/>
    </row>
    <row r="676" ht="15.75" customHeight="1">
      <c r="A676" s="101"/>
      <c r="B676" s="101"/>
      <c r="D676" s="104"/>
      <c r="F676" s="105"/>
    </row>
    <row r="677" ht="15.75" customHeight="1">
      <c r="A677" s="101"/>
      <c r="B677" s="101"/>
      <c r="D677" s="104"/>
      <c r="F677" s="105"/>
    </row>
    <row r="678" ht="15.75" customHeight="1">
      <c r="A678" s="101"/>
      <c r="B678" s="101"/>
      <c r="D678" s="104"/>
      <c r="F678" s="105"/>
    </row>
    <row r="679" ht="15.75" customHeight="1">
      <c r="A679" s="101"/>
      <c r="B679" s="101"/>
      <c r="D679" s="104"/>
      <c r="F679" s="105"/>
    </row>
    <row r="680" ht="15.75" customHeight="1">
      <c r="A680" s="101"/>
      <c r="B680" s="101"/>
      <c r="D680" s="104"/>
      <c r="F680" s="105"/>
    </row>
    <row r="681" ht="15.75" customHeight="1">
      <c r="A681" s="101"/>
      <c r="B681" s="101"/>
      <c r="D681" s="104"/>
      <c r="F681" s="105"/>
    </row>
    <row r="682" ht="15.75" customHeight="1">
      <c r="A682" s="101"/>
      <c r="B682" s="101"/>
      <c r="D682" s="104"/>
      <c r="F682" s="105"/>
    </row>
    <row r="683" ht="15.75" customHeight="1">
      <c r="A683" s="101"/>
      <c r="B683" s="101"/>
      <c r="D683" s="104"/>
      <c r="F683" s="105"/>
    </row>
    <row r="684" ht="15.75" customHeight="1">
      <c r="A684" s="101"/>
      <c r="B684" s="101"/>
      <c r="D684" s="104"/>
      <c r="F684" s="105"/>
    </row>
    <row r="685" ht="15.75" customHeight="1">
      <c r="A685" s="101"/>
      <c r="B685" s="101"/>
      <c r="D685" s="104"/>
      <c r="F685" s="105"/>
    </row>
    <row r="686" ht="15.75" customHeight="1">
      <c r="A686" s="101"/>
      <c r="B686" s="101"/>
      <c r="D686" s="104"/>
      <c r="F686" s="105"/>
    </row>
    <row r="687" ht="15.75" customHeight="1">
      <c r="A687" s="101"/>
      <c r="B687" s="101"/>
      <c r="D687" s="104"/>
      <c r="F687" s="105"/>
    </row>
    <row r="688" ht="15.75" customHeight="1">
      <c r="A688" s="101"/>
      <c r="B688" s="101"/>
      <c r="D688" s="104"/>
      <c r="F688" s="105"/>
    </row>
    <row r="689" ht="15.75" customHeight="1">
      <c r="A689" s="101"/>
      <c r="B689" s="101"/>
      <c r="D689" s="104"/>
      <c r="F689" s="105"/>
    </row>
    <row r="690" ht="15.75" customHeight="1">
      <c r="A690" s="101"/>
      <c r="B690" s="101"/>
      <c r="D690" s="104"/>
      <c r="F690" s="105"/>
    </row>
    <row r="691" ht="15.75" customHeight="1">
      <c r="A691" s="101"/>
      <c r="B691" s="101"/>
      <c r="D691" s="104"/>
      <c r="F691" s="105"/>
    </row>
    <row r="692" ht="15.75" customHeight="1">
      <c r="A692" s="101"/>
      <c r="B692" s="101"/>
      <c r="D692" s="104"/>
      <c r="F692" s="105"/>
    </row>
    <row r="693" ht="15.75" customHeight="1">
      <c r="A693" s="101"/>
      <c r="B693" s="101"/>
      <c r="D693" s="104"/>
      <c r="F693" s="105"/>
    </row>
    <row r="694" ht="15.75" customHeight="1">
      <c r="A694" s="101"/>
      <c r="B694" s="101"/>
      <c r="D694" s="104"/>
      <c r="F694" s="105"/>
    </row>
    <row r="695" ht="15.75" customHeight="1">
      <c r="A695" s="101"/>
      <c r="B695" s="101"/>
      <c r="D695" s="104"/>
      <c r="F695" s="105"/>
    </row>
    <row r="696" ht="15.75" customHeight="1">
      <c r="A696" s="101"/>
      <c r="B696" s="101"/>
      <c r="D696" s="104"/>
      <c r="F696" s="105"/>
    </row>
    <row r="697" ht="15.75" customHeight="1">
      <c r="A697" s="101"/>
      <c r="B697" s="101"/>
      <c r="D697" s="104"/>
      <c r="F697" s="105"/>
    </row>
    <row r="698" ht="15.75" customHeight="1">
      <c r="A698" s="101"/>
      <c r="B698" s="101"/>
      <c r="D698" s="104"/>
      <c r="F698" s="105"/>
    </row>
    <row r="699" ht="15.75" customHeight="1">
      <c r="A699" s="101"/>
      <c r="B699" s="101"/>
      <c r="D699" s="104"/>
      <c r="F699" s="105"/>
    </row>
    <row r="700" ht="15.75" customHeight="1">
      <c r="A700" s="101"/>
      <c r="B700" s="101"/>
      <c r="D700" s="104"/>
      <c r="F700" s="105"/>
    </row>
    <row r="701" ht="15.75" customHeight="1">
      <c r="A701" s="101"/>
      <c r="B701" s="101"/>
      <c r="D701" s="104"/>
      <c r="F701" s="105"/>
    </row>
    <row r="702" ht="15.75" customHeight="1">
      <c r="A702" s="101"/>
      <c r="B702" s="101"/>
      <c r="D702" s="104"/>
      <c r="F702" s="105"/>
    </row>
    <row r="703" ht="15.75" customHeight="1">
      <c r="A703" s="101"/>
      <c r="B703" s="101"/>
      <c r="D703" s="104"/>
      <c r="F703" s="105"/>
    </row>
    <row r="704" ht="15.75" customHeight="1">
      <c r="A704" s="101"/>
      <c r="B704" s="101"/>
      <c r="D704" s="104"/>
      <c r="F704" s="105"/>
    </row>
    <row r="705" ht="15.75" customHeight="1">
      <c r="A705" s="101"/>
      <c r="B705" s="101"/>
      <c r="D705" s="104"/>
      <c r="F705" s="105"/>
    </row>
    <row r="706" ht="15.75" customHeight="1">
      <c r="A706" s="101"/>
      <c r="B706" s="101"/>
      <c r="D706" s="104"/>
      <c r="F706" s="105"/>
    </row>
    <row r="707" ht="15.75" customHeight="1">
      <c r="A707" s="101"/>
      <c r="B707" s="101"/>
      <c r="D707" s="104"/>
      <c r="F707" s="105"/>
    </row>
    <row r="708" ht="15.75" customHeight="1">
      <c r="A708" s="101"/>
      <c r="B708" s="101"/>
      <c r="D708" s="104"/>
      <c r="F708" s="105"/>
    </row>
    <row r="709" ht="15.75" customHeight="1">
      <c r="A709" s="101"/>
      <c r="B709" s="101"/>
      <c r="D709" s="104"/>
      <c r="F709" s="105"/>
    </row>
    <row r="710" ht="15.75" customHeight="1">
      <c r="A710" s="101"/>
      <c r="B710" s="101"/>
      <c r="D710" s="104"/>
      <c r="F710" s="105"/>
    </row>
    <row r="711" ht="15.75" customHeight="1">
      <c r="A711" s="101"/>
      <c r="B711" s="101"/>
      <c r="D711" s="104"/>
      <c r="F711" s="105"/>
    </row>
    <row r="712" ht="15.75" customHeight="1">
      <c r="A712" s="101"/>
      <c r="B712" s="101"/>
      <c r="D712" s="104"/>
      <c r="F712" s="105"/>
    </row>
    <row r="713" ht="15.75" customHeight="1">
      <c r="A713" s="101"/>
      <c r="B713" s="101"/>
      <c r="D713" s="104"/>
      <c r="F713" s="105"/>
    </row>
    <row r="714" ht="15.75" customHeight="1">
      <c r="A714" s="101"/>
      <c r="B714" s="101"/>
      <c r="D714" s="104"/>
      <c r="F714" s="105"/>
    </row>
    <row r="715" ht="15.75" customHeight="1">
      <c r="A715" s="101"/>
      <c r="B715" s="101"/>
      <c r="D715" s="104"/>
      <c r="F715" s="105"/>
    </row>
    <row r="716" ht="15.75" customHeight="1">
      <c r="A716" s="101"/>
      <c r="B716" s="101"/>
      <c r="D716" s="104"/>
      <c r="F716" s="105"/>
    </row>
    <row r="717" ht="15.75" customHeight="1">
      <c r="A717" s="101"/>
      <c r="B717" s="101"/>
      <c r="D717" s="104"/>
      <c r="F717" s="105"/>
    </row>
    <row r="718" ht="15.75" customHeight="1">
      <c r="A718" s="101"/>
      <c r="B718" s="101"/>
      <c r="D718" s="104"/>
      <c r="F718" s="105"/>
    </row>
    <row r="719" ht="15.75" customHeight="1">
      <c r="A719" s="101"/>
      <c r="B719" s="101"/>
      <c r="D719" s="104"/>
      <c r="F719" s="105"/>
    </row>
    <row r="720" ht="15.75" customHeight="1">
      <c r="A720" s="101"/>
      <c r="B720" s="101"/>
      <c r="D720" s="104"/>
      <c r="F720" s="105"/>
    </row>
    <row r="721" ht="15.75" customHeight="1">
      <c r="A721" s="101"/>
      <c r="B721" s="101"/>
      <c r="D721" s="104"/>
      <c r="F721" s="105"/>
    </row>
    <row r="722" ht="15.75" customHeight="1">
      <c r="A722" s="101"/>
      <c r="B722" s="101"/>
      <c r="D722" s="104"/>
      <c r="F722" s="105"/>
    </row>
    <row r="723" ht="15.75" customHeight="1">
      <c r="A723" s="101"/>
      <c r="B723" s="101"/>
      <c r="D723" s="104"/>
      <c r="F723" s="105"/>
    </row>
    <row r="724" ht="15.75" customHeight="1">
      <c r="A724" s="101"/>
      <c r="B724" s="101"/>
      <c r="D724" s="104"/>
      <c r="F724" s="105"/>
    </row>
    <row r="725" ht="15.75" customHeight="1">
      <c r="A725" s="101"/>
      <c r="B725" s="101"/>
      <c r="D725" s="104"/>
      <c r="F725" s="105"/>
    </row>
    <row r="726" ht="15.75" customHeight="1">
      <c r="A726" s="101"/>
      <c r="B726" s="101"/>
      <c r="D726" s="104"/>
      <c r="F726" s="105"/>
    </row>
    <row r="727" ht="15.75" customHeight="1">
      <c r="A727" s="101"/>
      <c r="B727" s="101"/>
      <c r="D727" s="104"/>
      <c r="F727" s="105"/>
    </row>
    <row r="728" ht="15.75" customHeight="1">
      <c r="A728" s="101"/>
      <c r="B728" s="101"/>
      <c r="D728" s="104"/>
      <c r="F728" s="105"/>
    </row>
    <row r="729" ht="15.75" customHeight="1">
      <c r="A729" s="101"/>
      <c r="B729" s="101"/>
      <c r="D729" s="104"/>
      <c r="F729" s="105"/>
    </row>
    <row r="730" ht="15.75" customHeight="1">
      <c r="A730" s="101"/>
      <c r="B730" s="101"/>
      <c r="D730" s="104"/>
      <c r="F730" s="105"/>
    </row>
    <row r="731" ht="15.75" customHeight="1">
      <c r="A731" s="101"/>
      <c r="B731" s="101"/>
      <c r="D731" s="104"/>
      <c r="F731" s="105"/>
    </row>
    <row r="732" ht="15.75" customHeight="1">
      <c r="A732" s="101"/>
      <c r="B732" s="101"/>
      <c r="D732" s="104"/>
      <c r="F732" s="105"/>
    </row>
    <row r="733" ht="15.75" customHeight="1">
      <c r="A733" s="101"/>
      <c r="B733" s="101"/>
      <c r="D733" s="104"/>
      <c r="F733" s="105"/>
    </row>
    <row r="734" ht="15.75" customHeight="1">
      <c r="A734" s="101"/>
      <c r="B734" s="101"/>
      <c r="D734" s="104"/>
      <c r="F734" s="105"/>
    </row>
    <row r="735" ht="15.75" customHeight="1">
      <c r="A735" s="101"/>
      <c r="B735" s="101"/>
      <c r="D735" s="104"/>
      <c r="F735" s="105"/>
    </row>
    <row r="736" ht="15.75" customHeight="1">
      <c r="A736" s="101"/>
      <c r="B736" s="101"/>
      <c r="D736" s="104"/>
      <c r="F736" s="105"/>
    </row>
    <row r="737" ht="15.75" customHeight="1">
      <c r="A737" s="101"/>
      <c r="B737" s="101"/>
      <c r="D737" s="104"/>
      <c r="F737" s="105"/>
    </row>
    <row r="738" ht="15.75" customHeight="1">
      <c r="A738" s="101"/>
      <c r="B738" s="101"/>
      <c r="D738" s="104"/>
      <c r="F738" s="105"/>
    </row>
    <row r="739" ht="15.75" customHeight="1">
      <c r="A739" s="101"/>
      <c r="B739" s="101"/>
      <c r="D739" s="104"/>
      <c r="F739" s="105"/>
    </row>
    <row r="740" ht="15.75" customHeight="1">
      <c r="A740" s="101"/>
      <c r="B740" s="101"/>
      <c r="D740" s="104"/>
      <c r="F740" s="105"/>
    </row>
    <row r="741" ht="15.75" customHeight="1">
      <c r="A741" s="101"/>
      <c r="B741" s="101"/>
      <c r="D741" s="104"/>
      <c r="F741" s="105"/>
    </row>
    <row r="742" ht="15.75" customHeight="1">
      <c r="A742" s="101"/>
      <c r="B742" s="101"/>
      <c r="D742" s="104"/>
      <c r="F742" s="105"/>
    </row>
    <row r="743" ht="15.75" customHeight="1">
      <c r="A743" s="101"/>
      <c r="B743" s="101"/>
      <c r="D743" s="104"/>
      <c r="F743" s="105"/>
    </row>
    <row r="744" ht="15.75" customHeight="1">
      <c r="A744" s="101"/>
      <c r="B744" s="101"/>
      <c r="D744" s="104"/>
      <c r="F744" s="105"/>
    </row>
    <row r="745" ht="15.75" customHeight="1">
      <c r="A745" s="101"/>
      <c r="B745" s="101"/>
      <c r="D745" s="104"/>
      <c r="F745" s="105"/>
    </row>
    <row r="746" ht="15.75" customHeight="1">
      <c r="A746" s="101"/>
      <c r="B746" s="101"/>
      <c r="D746" s="104"/>
      <c r="F746" s="105"/>
    </row>
    <row r="747" ht="15.75" customHeight="1">
      <c r="A747" s="101"/>
      <c r="B747" s="101"/>
      <c r="D747" s="104"/>
      <c r="F747" s="105"/>
    </row>
    <row r="748" ht="15.75" customHeight="1">
      <c r="A748" s="101"/>
      <c r="B748" s="101"/>
      <c r="D748" s="104"/>
      <c r="F748" s="105"/>
    </row>
    <row r="749" ht="15.75" customHeight="1">
      <c r="A749" s="101"/>
      <c r="B749" s="101"/>
      <c r="D749" s="104"/>
      <c r="F749" s="105"/>
    </row>
    <row r="750" ht="15.75" customHeight="1">
      <c r="A750" s="101"/>
      <c r="B750" s="101"/>
      <c r="D750" s="104"/>
      <c r="F750" s="105"/>
    </row>
    <row r="751" ht="15.75" customHeight="1">
      <c r="A751" s="101"/>
      <c r="B751" s="101"/>
      <c r="D751" s="104"/>
      <c r="F751" s="105"/>
    </row>
    <row r="752" ht="15.75" customHeight="1">
      <c r="A752" s="101"/>
      <c r="B752" s="101"/>
      <c r="D752" s="104"/>
      <c r="F752" s="105"/>
    </row>
    <row r="753" ht="15.75" customHeight="1">
      <c r="A753" s="101"/>
      <c r="B753" s="101"/>
      <c r="D753" s="104"/>
      <c r="F753" s="105"/>
    </row>
    <row r="754" ht="15.75" customHeight="1">
      <c r="A754" s="101"/>
      <c r="B754" s="101"/>
      <c r="D754" s="104"/>
      <c r="F754" s="105"/>
    </row>
    <row r="755" ht="15.75" customHeight="1">
      <c r="A755" s="101"/>
      <c r="B755" s="101"/>
      <c r="D755" s="104"/>
      <c r="F755" s="105"/>
    </row>
    <row r="756" ht="15.75" customHeight="1">
      <c r="A756" s="101"/>
      <c r="B756" s="101"/>
      <c r="D756" s="104"/>
      <c r="F756" s="105"/>
    </row>
    <row r="757" ht="15.75" customHeight="1">
      <c r="A757" s="101"/>
      <c r="B757" s="101"/>
      <c r="D757" s="104"/>
      <c r="F757" s="105"/>
    </row>
    <row r="758" ht="15.75" customHeight="1">
      <c r="A758" s="101"/>
      <c r="B758" s="101"/>
      <c r="D758" s="104"/>
      <c r="F758" s="105"/>
    </row>
    <row r="759" ht="15.75" customHeight="1">
      <c r="A759" s="101"/>
      <c r="B759" s="101"/>
      <c r="D759" s="104"/>
      <c r="F759" s="105"/>
    </row>
    <row r="760" ht="15.75" customHeight="1">
      <c r="A760" s="101"/>
      <c r="B760" s="101"/>
      <c r="D760" s="104"/>
      <c r="F760" s="105"/>
    </row>
    <row r="761" ht="15.75" customHeight="1">
      <c r="A761" s="101"/>
      <c r="B761" s="101"/>
      <c r="D761" s="104"/>
      <c r="F761" s="105"/>
    </row>
    <row r="762" ht="15.75" customHeight="1">
      <c r="A762" s="101"/>
      <c r="B762" s="101"/>
      <c r="D762" s="104"/>
      <c r="F762" s="105"/>
    </row>
    <row r="763" ht="15.75" customHeight="1">
      <c r="A763" s="101"/>
      <c r="B763" s="101"/>
      <c r="D763" s="104"/>
      <c r="F763" s="105"/>
    </row>
    <row r="764" ht="15.75" customHeight="1">
      <c r="A764" s="101"/>
      <c r="B764" s="101"/>
      <c r="D764" s="104"/>
      <c r="F764" s="105"/>
    </row>
    <row r="765" ht="15.75" customHeight="1">
      <c r="A765" s="101"/>
      <c r="B765" s="101"/>
      <c r="D765" s="104"/>
      <c r="F765" s="105"/>
    </row>
    <row r="766" ht="15.75" customHeight="1">
      <c r="A766" s="101"/>
      <c r="B766" s="101"/>
      <c r="D766" s="104"/>
      <c r="F766" s="105"/>
    </row>
    <row r="767" ht="15.75" customHeight="1">
      <c r="A767" s="101"/>
      <c r="B767" s="101"/>
      <c r="D767" s="104"/>
      <c r="F767" s="105"/>
    </row>
    <row r="768" ht="15.75" customHeight="1">
      <c r="A768" s="101"/>
      <c r="B768" s="101"/>
      <c r="D768" s="104"/>
      <c r="F768" s="105"/>
    </row>
    <row r="769" ht="15.75" customHeight="1">
      <c r="A769" s="101"/>
      <c r="B769" s="101"/>
      <c r="D769" s="104"/>
      <c r="F769" s="105"/>
    </row>
    <row r="770" ht="15.75" customHeight="1">
      <c r="A770" s="101"/>
      <c r="B770" s="101"/>
      <c r="D770" s="104"/>
      <c r="F770" s="105"/>
    </row>
    <row r="771" ht="15.75" customHeight="1">
      <c r="A771" s="101"/>
      <c r="B771" s="101"/>
      <c r="D771" s="104"/>
      <c r="F771" s="105"/>
    </row>
    <row r="772" ht="15.75" customHeight="1">
      <c r="A772" s="101"/>
      <c r="B772" s="101"/>
      <c r="D772" s="104"/>
      <c r="F772" s="105"/>
    </row>
    <row r="773" ht="15.75" customHeight="1">
      <c r="A773" s="101"/>
      <c r="B773" s="101"/>
      <c r="D773" s="104"/>
      <c r="F773" s="105"/>
    </row>
    <row r="774" ht="15.75" customHeight="1">
      <c r="A774" s="101"/>
      <c r="B774" s="101"/>
      <c r="D774" s="104"/>
      <c r="F774" s="105"/>
    </row>
    <row r="775" ht="15.75" customHeight="1">
      <c r="A775" s="101"/>
      <c r="B775" s="101"/>
      <c r="D775" s="104"/>
      <c r="F775" s="105"/>
    </row>
    <row r="776" ht="15.75" customHeight="1">
      <c r="A776" s="101"/>
      <c r="B776" s="101"/>
      <c r="D776" s="104"/>
      <c r="F776" s="105"/>
    </row>
    <row r="777" ht="15.75" customHeight="1">
      <c r="A777" s="101"/>
      <c r="B777" s="101"/>
      <c r="D777" s="104"/>
      <c r="F777" s="105"/>
    </row>
    <row r="778" ht="15.75" customHeight="1">
      <c r="A778" s="101"/>
      <c r="B778" s="101"/>
      <c r="D778" s="104"/>
      <c r="F778" s="105"/>
    </row>
    <row r="779" ht="15.75" customHeight="1">
      <c r="A779" s="101"/>
      <c r="B779" s="101"/>
      <c r="D779" s="104"/>
      <c r="F779" s="105"/>
    </row>
    <row r="780" ht="15.75" customHeight="1">
      <c r="A780" s="101"/>
      <c r="B780" s="101"/>
      <c r="D780" s="104"/>
      <c r="F780" s="105"/>
    </row>
    <row r="781" ht="15.75" customHeight="1">
      <c r="A781" s="101"/>
      <c r="B781" s="101"/>
      <c r="D781" s="104"/>
      <c r="F781" s="105"/>
    </row>
    <row r="782" ht="15.75" customHeight="1">
      <c r="A782" s="101"/>
      <c r="B782" s="101"/>
      <c r="D782" s="104"/>
      <c r="F782" s="105"/>
    </row>
    <row r="783" ht="15.75" customHeight="1">
      <c r="A783" s="101"/>
      <c r="B783" s="101"/>
      <c r="D783" s="104"/>
      <c r="F783" s="105"/>
    </row>
    <row r="784" ht="15.75" customHeight="1">
      <c r="A784" s="101"/>
      <c r="B784" s="101"/>
      <c r="D784" s="104"/>
      <c r="F784" s="105"/>
    </row>
    <row r="785" ht="15.75" customHeight="1">
      <c r="A785" s="101"/>
      <c r="B785" s="101"/>
      <c r="D785" s="104"/>
      <c r="F785" s="105"/>
    </row>
    <row r="786" ht="15.75" customHeight="1">
      <c r="A786" s="101"/>
      <c r="B786" s="101"/>
      <c r="D786" s="104"/>
      <c r="F786" s="105"/>
    </row>
    <row r="787" ht="15.75" customHeight="1">
      <c r="A787" s="101"/>
      <c r="B787" s="101"/>
      <c r="D787" s="104"/>
      <c r="F787" s="105"/>
    </row>
    <row r="788" ht="15.75" customHeight="1">
      <c r="A788" s="101"/>
      <c r="B788" s="101"/>
      <c r="D788" s="104"/>
      <c r="F788" s="105"/>
    </row>
    <row r="789" ht="15.75" customHeight="1">
      <c r="A789" s="101"/>
      <c r="B789" s="101"/>
      <c r="D789" s="104"/>
      <c r="F789" s="105"/>
    </row>
    <row r="790" ht="15.75" customHeight="1">
      <c r="A790" s="101"/>
      <c r="B790" s="101"/>
      <c r="D790" s="104"/>
      <c r="F790" s="105"/>
    </row>
    <row r="791" ht="15.75" customHeight="1">
      <c r="A791" s="101"/>
      <c r="B791" s="101"/>
      <c r="D791" s="104"/>
      <c r="F791" s="105"/>
    </row>
    <row r="792" ht="15.75" customHeight="1">
      <c r="A792" s="101"/>
      <c r="B792" s="101"/>
      <c r="D792" s="104"/>
      <c r="F792" s="105"/>
    </row>
    <row r="793" ht="15.75" customHeight="1">
      <c r="A793" s="101"/>
      <c r="B793" s="101"/>
      <c r="D793" s="104"/>
      <c r="F793" s="105"/>
    </row>
    <row r="794" ht="15.75" customHeight="1">
      <c r="A794" s="101"/>
      <c r="B794" s="101"/>
      <c r="D794" s="104"/>
      <c r="F794" s="105"/>
    </row>
    <row r="795" ht="15.75" customHeight="1">
      <c r="A795" s="101"/>
      <c r="B795" s="101"/>
      <c r="D795" s="104"/>
      <c r="F795" s="105"/>
    </row>
    <row r="796" ht="15.75" customHeight="1">
      <c r="A796" s="101"/>
      <c r="B796" s="101"/>
      <c r="D796" s="104"/>
      <c r="F796" s="105"/>
    </row>
    <row r="797" ht="15.75" customHeight="1">
      <c r="A797" s="101"/>
      <c r="B797" s="101"/>
      <c r="D797" s="104"/>
      <c r="F797" s="105"/>
    </row>
    <row r="798" ht="15.75" customHeight="1">
      <c r="A798" s="101"/>
      <c r="B798" s="101"/>
      <c r="D798" s="104"/>
      <c r="F798" s="105"/>
    </row>
    <row r="799" ht="15.75" customHeight="1">
      <c r="A799" s="101"/>
      <c r="B799" s="101"/>
      <c r="D799" s="104"/>
      <c r="F799" s="105"/>
    </row>
    <row r="800" ht="15.75" customHeight="1">
      <c r="A800" s="101"/>
      <c r="B800" s="101"/>
      <c r="D800" s="104"/>
      <c r="F800" s="105"/>
    </row>
    <row r="801" ht="15.75" customHeight="1">
      <c r="A801" s="101"/>
      <c r="B801" s="101"/>
      <c r="D801" s="104"/>
      <c r="F801" s="105"/>
    </row>
    <row r="802" ht="15.75" customHeight="1">
      <c r="A802" s="101"/>
      <c r="B802" s="101"/>
      <c r="D802" s="104"/>
      <c r="F802" s="105"/>
    </row>
    <row r="803" ht="15.75" customHeight="1">
      <c r="A803" s="101"/>
      <c r="B803" s="101"/>
      <c r="D803" s="104"/>
      <c r="F803" s="105"/>
    </row>
    <row r="804" ht="15.75" customHeight="1">
      <c r="A804" s="101"/>
      <c r="B804" s="101"/>
      <c r="D804" s="104"/>
      <c r="F804" s="105"/>
    </row>
    <row r="805" ht="15.75" customHeight="1">
      <c r="A805" s="101"/>
      <c r="B805" s="101"/>
      <c r="D805" s="104"/>
      <c r="F805" s="105"/>
    </row>
    <row r="806" ht="15.75" customHeight="1">
      <c r="A806" s="101"/>
      <c r="B806" s="101"/>
      <c r="D806" s="104"/>
      <c r="F806" s="105"/>
    </row>
    <row r="807" ht="15.75" customHeight="1">
      <c r="A807" s="101"/>
      <c r="B807" s="101"/>
      <c r="D807" s="104"/>
      <c r="F807" s="105"/>
    </row>
    <row r="808" ht="15.75" customHeight="1">
      <c r="A808" s="101"/>
      <c r="B808" s="101"/>
      <c r="D808" s="104"/>
      <c r="F808" s="105"/>
    </row>
    <row r="809" ht="15.75" customHeight="1">
      <c r="A809" s="101"/>
      <c r="B809" s="101"/>
      <c r="D809" s="104"/>
      <c r="F809" s="105"/>
    </row>
    <row r="810" ht="15.75" customHeight="1">
      <c r="A810" s="101"/>
      <c r="B810" s="101"/>
      <c r="D810" s="104"/>
      <c r="F810" s="105"/>
    </row>
    <row r="811" ht="15.75" customHeight="1">
      <c r="A811" s="101"/>
      <c r="B811" s="101"/>
      <c r="D811" s="104"/>
      <c r="F811" s="105"/>
    </row>
    <row r="812" ht="15.75" customHeight="1">
      <c r="A812" s="101"/>
      <c r="B812" s="101"/>
      <c r="D812" s="104"/>
      <c r="F812" s="105"/>
    </row>
    <row r="813" ht="15.75" customHeight="1">
      <c r="A813" s="101"/>
      <c r="B813" s="101"/>
      <c r="D813" s="104"/>
      <c r="F813" s="105"/>
    </row>
    <row r="814" ht="15.75" customHeight="1">
      <c r="A814" s="101"/>
      <c r="B814" s="101"/>
      <c r="D814" s="104"/>
      <c r="F814" s="105"/>
    </row>
    <row r="815" ht="15.75" customHeight="1">
      <c r="A815" s="101"/>
      <c r="B815" s="101"/>
      <c r="D815" s="104"/>
      <c r="F815" s="105"/>
    </row>
    <row r="816" ht="15.75" customHeight="1">
      <c r="A816" s="101"/>
      <c r="B816" s="101"/>
      <c r="D816" s="104"/>
      <c r="F816" s="105"/>
    </row>
    <row r="817" ht="15.75" customHeight="1">
      <c r="A817" s="101"/>
      <c r="B817" s="101"/>
      <c r="D817" s="104"/>
      <c r="F817" s="105"/>
    </row>
    <row r="818" ht="15.75" customHeight="1">
      <c r="A818" s="101"/>
      <c r="B818" s="101"/>
      <c r="D818" s="104"/>
      <c r="F818" s="105"/>
    </row>
    <row r="819" ht="15.75" customHeight="1">
      <c r="A819" s="101"/>
      <c r="B819" s="101"/>
      <c r="D819" s="104"/>
      <c r="F819" s="105"/>
    </row>
    <row r="820" ht="15.75" customHeight="1">
      <c r="A820" s="101"/>
      <c r="B820" s="101"/>
      <c r="D820" s="104"/>
      <c r="F820" s="105"/>
    </row>
    <row r="821" ht="15.75" customHeight="1">
      <c r="A821" s="101"/>
      <c r="B821" s="101"/>
      <c r="D821" s="104"/>
      <c r="F821" s="105"/>
    </row>
    <row r="822" ht="15.75" customHeight="1">
      <c r="A822" s="101"/>
      <c r="B822" s="101"/>
      <c r="D822" s="104"/>
      <c r="F822" s="105"/>
    </row>
    <row r="823" ht="15.75" customHeight="1">
      <c r="A823" s="101"/>
      <c r="B823" s="101"/>
      <c r="D823" s="104"/>
      <c r="F823" s="105"/>
    </row>
    <row r="824" ht="15.75" customHeight="1">
      <c r="A824" s="101"/>
      <c r="B824" s="101"/>
      <c r="D824" s="104"/>
      <c r="F824" s="105"/>
    </row>
    <row r="825" ht="15.75" customHeight="1">
      <c r="A825" s="101"/>
      <c r="B825" s="101"/>
      <c r="D825" s="104"/>
      <c r="F825" s="105"/>
    </row>
    <row r="826" ht="15.75" customHeight="1">
      <c r="A826" s="101"/>
      <c r="B826" s="101"/>
      <c r="D826" s="104"/>
      <c r="F826" s="105"/>
    </row>
    <row r="827" ht="15.75" customHeight="1">
      <c r="A827" s="101"/>
      <c r="B827" s="101"/>
      <c r="D827" s="104"/>
      <c r="F827" s="105"/>
    </row>
    <row r="828" ht="15.75" customHeight="1">
      <c r="A828" s="101"/>
      <c r="B828" s="101"/>
      <c r="D828" s="104"/>
      <c r="F828" s="105"/>
    </row>
    <row r="829" ht="15.75" customHeight="1">
      <c r="A829" s="101"/>
      <c r="B829" s="101"/>
      <c r="D829" s="104"/>
      <c r="F829" s="105"/>
    </row>
    <row r="830" ht="15.75" customHeight="1">
      <c r="A830" s="101"/>
      <c r="B830" s="101"/>
      <c r="D830" s="104"/>
      <c r="F830" s="105"/>
    </row>
    <row r="831" ht="15.75" customHeight="1">
      <c r="A831" s="101"/>
      <c r="B831" s="101"/>
      <c r="D831" s="104"/>
      <c r="F831" s="105"/>
    </row>
    <row r="832" ht="15.75" customHeight="1">
      <c r="A832" s="101"/>
      <c r="B832" s="101"/>
      <c r="D832" s="104"/>
      <c r="F832" s="105"/>
    </row>
    <row r="833" ht="15.75" customHeight="1">
      <c r="A833" s="101"/>
      <c r="B833" s="101"/>
      <c r="D833" s="104"/>
      <c r="F833" s="105"/>
    </row>
    <row r="834" ht="15.75" customHeight="1">
      <c r="A834" s="101"/>
      <c r="B834" s="101"/>
      <c r="D834" s="104"/>
      <c r="F834" s="105"/>
    </row>
    <row r="835" ht="15.75" customHeight="1">
      <c r="A835" s="101"/>
      <c r="B835" s="101"/>
      <c r="D835" s="104"/>
      <c r="F835" s="105"/>
    </row>
    <row r="836" ht="15.75" customHeight="1">
      <c r="A836" s="101"/>
      <c r="B836" s="101"/>
      <c r="D836" s="104"/>
      <c r="F836" s="105"/>
    </row>
    <row r="837" ht="15.75" customHeight="1">
      <c r="A837" s="101"/>
      <c r="B837" s="101"/>
      <c r="D837" s="104"/>
      <c r="F837" s="105"/>
    </row>
    <row r="838" ht="15.75" customHeight="1">
      <c r="A838" s="101"/>
      <c r="B838" s="101"/>
      <c r="D838" s="104"/>
      <c r="F838" s="105"/>
    </row>
    <row r="839" ht="15.75" customHeight="1">
      <c r="A839" s="101"/>
      <c r="B839" s="101"/>
      <c r="D839" s="104"/>
      <c r="F839" s="105"/>
    </row>
    <row r="840" ht="15.75" customHeight="1">
      <c r="A840" s="101"/>
      <c r="B840" s="101"/>
      <c r="D840" s="104"/>
      <c r="F840" s="105"/>
    </row>
    <row r="841" ht="15.75" customHeight="1">
      <c r="A841" s="101"/>
      <c r="B841" s="101"/>
      <c r="D841" s="104"/>
      <c r="F841" s="105"/>
    </row>
    <row r="842" ht="15.75" customHeight="1">
      <c r="A842" s="101"/>
      <c r="B842" s="101"/>
      <c r="D842" s="104"/>
      <c r="F842" s="105"/>
    </row>
    <row r="843" ht="15.75" customHeight="1">
      <c r="A843" s="101"/>
      <c r="B843" s="101"/>
      <c r="D843" s="104"/>
      <c r="F843" s="105"/>
    </row>
    <row r="844" ht="15.75" customHeight="1">
      <c r="A844" s="101"/>
      <c r="B844" s="101"/>
      <c r="D844" s="104"/>
      <c r="F844" s="105"/>
    </row>
    <row r="845" ht="15.75" customHeight="1">
      <c r="A845" s="101"/>
      <c r="B845" s="101"/>
      <c r="D845" s="104"/>
      <c r="F845" s="105"/>
    </row>
    <row r="846" ht="15.75" customHeight="1">
      <c r="A846" s="101"/>
      <c r="B846" s="101"/>
      <c r="D846" s="104"/>
      <c r="F846" s="105"/>
    </row>
    <row r="847" ht="15.75" customHeight="1">
      <c r="A847" s="101"/>
      <c r="B847" s="101"/>
      <c r="D847" s="104"/>
      <c r="F847" s="105"/>
    </row>
    <row r="848" ht="15.75" customHeight="1">
      <c r="A848" s="101"/>
      <c r="B848" s="101"/>
      <c r="D848" s="104"/>
      <c r="F848" s="105"/>
    </row>
    <row r="849" ht="15.75" customHeight="1">
      <c r="A849" s="101"/>
      <c r="B849" s="101"/>
      <c r="D849" s="104"/>
      <c r="F849" s="105"/>
    </row>
    <row r="850" ht="15.75" customHeight="1">
      <c r="A850" s="101"/>
      <c r="B850" s="101"/>
      <c r="D850" s="104"/>
      <c r="F850" s="105"/>
    </row>
    <row r="851" ht="15.75" customHeight="1">
      <c r="A851" s="101"/>
      <c r="B851" s="101"/>
      <c r="D851" s="104"/>
      <c r="F851" s="105"/>
    </row>
    <row r="852" ht="15.75" customHeight="1">
      <c r="A852" s="101"/>
      <c r="B852" s="101"/>
      <c r="D852" s="104"/>
      <c r="F852" s="105"/>
    </row>
    <row r="853" ht="15.75" customHeight="1">
      <c r="A853" s="101"/>
      <c r="B853" s="101"/>
      <c r="D853" s="104"/>
      <c r="F853" s="105"/>
    </row>
    <row r="854" ht="15.75" customHeight="1">
      <c r="A854" s="101"/>
      <c r="B854" s="101"/>
      <c r="D854" s="104"/>
      <c r="F854" s="105"/>
    </row>
    <row r="855" ht="15.75" customHeight="1">
      <c r="A855" s="101"/>
      <c r="B855" s="101"/>
      <c r="D855" s="104"/>
      <c r="F855" s="105"/>
    </row>
    <row r="856" ht="15.75" customHeight="1">
      <c r="A856" s="101"/>
      <c r="B856" s="101"/>
      <c r="D856" s="104"/>
      <c r="F856" s="105"/>
    </row>
    <row r="857" ht="15.75" customHeight="1">
      <c r="A857" s="101"/>
      <c r="B857" s="101"/>
      <c r="D857" s="104"/>
      <c r="F857" s="105"/>
    </row>
    <row r="858" ht="15.75" customHeight="1">
      <c r="A858" s="101"/>
      <c r="B858" s="101"/>
      <c r="D858" s="104"/>
      <c r="F858" s="105"/>
    </row>
    <row r="859" ht="15.75" customHeight="1">
      <c r="A859" s="101"/>
      <c r="B859" s="101"/>
      <c r="D859" s="104"/>
      <c r="F859" s="105"/>
    </row>
    <row r="860" ht="15.75" customHeight="1">
      <c r="A860" s="101"/>
      <c r="B860" s="101"/>
      <c r="D860" s="104"/>
      <c r="F860" s="105"/>
    </row>
    <row r="861" ht="15.75" customHeight="1">
      <c r="A861" s="101"/>
      <c r="B861" s="101"/>
      <c r="D861" s="104"/>
      <c r="F861" s="105"/>
    </row>
    <row r="862" ht="15.75" customHeight="1">
      <c r="A862" s="101"/>
      <c r="B862" s="101"/>
      <c r="D862" s="104"/>
      <c r="F862" s="105"/>
    </row>
    <row r="863" ht="15.75" customHeight="1">
      <c r="A863" s="101"/>
      <c r="B863" s="101"/>
      <c r="D863" s="104"/>
      <c r="F863" s="105"/>
    </row>
    <row r="864" ht="15.75" customHeight="1">
      <c r="A864" s="101"/>
      <c r="B864" s="101"/>
      <c r="D864" s="104"/>
      <c r="F864" s="105"/>
    </row>
    <row r="865" ht="15.75" customHeight="1">
      <c r="A865" s="101"/>
      <c r="B865" s="101"/>
      <c r="D865" s="104"/>
      <c r="F865" s="105"/>
    </row>
    <row r="866" ht="15.75" customHeight="1">
      <c r="A866" s="101"/>
      <c r="B866" s="101"/>
      <c r="D866" s="104"/>
      <c r="F866" s="105"/>
    </row>
    <row r="867" ht="15.75" customHeight="1">
      <c r="A867" s="101"/>
      <c r="B867" s="101"/>
      <c r="D867" s="104"/>
      <c r="F867" s="105"/>
    </row>
    <row r="868" ht="15.75" customHeight="1">
      <c r="A868" s="101"/>
      <c r="B868" s="101"/>
      <c r="D868" s="104"/>
      <c r="F868" s="105"/>
    </row>
    <row r="869" ht="15.75" customHeight="1">
      <c r="A869" s="101"/>
      <c r="B869" s="101"/>
      <c r="D869" s="104"/>
      <c r="F869" s="105"/>
    </row>
    <row r="870" ht="15.75" customHeight="1">
      <c r="A870" s="101"/>
      <c r="B870" s="101"/>
      <c r="D870" s="104"/>
      <c r="F870" s="105"/>
    </row>
    <row r="871" ht="15.75" customHeight="1">
      <c r="A871" s="101"/>
      <c r="B871" s="101"/>
      <c r="D871" s="104"/>
      <c r="F871" s="105"/>
    </row>
    <row r="872" ht="15.75" customHeight="1">
      <c r="A872" s="101"/>
      <c r="B872" s="101"/>
      <c r="D872" s="104"/>
      <c r="F872" s="105"/>
    </row>
    <row r="873" ht="15.75" customHeight="1">
      <c r="A873" s="101"/>
      <c r="B873" s="101"/>
      <c r="D873" s="104"/>
      <c r="F873" s="105"/>
    </row>
    <row r="874" ht="15.75" customHeight="1">
      <c r="A874" s="101"/>
      <c r="B874" s="101"/>
      <c r="D874" s="104"/>
      <c r="F874" s="105"/>
    </row>
    <row r="875" ht="15.75" customHeight="1">
      <c r="A875" s="101"/>
      <c r="B875" s="101"/>
      <c r="D875" s="104"/>
      <c r="F875" s="105"/>
    </row>
    <row r="876" ht="15.75" customHeight="1">
      <c r="A876" s="101"/>
      <c r="B876" s="101"/>
      <c r="D876" s="104"/>
      <c r="F876" s="105"/>
    </row>
    <row r="877" ht="15.75" customHeight="1">
      <c r="A877" s="101"/>
      <c r="B877" s="101"/>
      <c r="D877" s="104"/>
      <c r="F877" s="105"/>
    </row>
    <row r="878" ht="15.75" customHeight="1">
      <c r="A878" s="101"/>
      <c r="B878" s="101"/>
      <c r="D878" s="104"/>
      <c r="F878" s="105"/>
    </row>
    <row r="879" ht="15.75" customHeight="1">
      <c r="A879" s="101"/>
      <c r="B879" s="101"/>
      <c r="D879" s="104"/>
      <c r="F879" s="105"/>
    </row>
    <row r="880" ht="15.75" customHeight="1">
      <c r="A880" s="101"/>
      <c r="B880" s="101"/>
      <c r="D880" s="104"/>
      <c r="F880" s="105"/>
    </row>
    <row r="881" ht="15.75" customHeight="1">
      <c r="A881" s="101"/>
      <c r="B881" s="101"/>
      <c r="D881" s="104"/>
      <c r="F881" s="105"/>
    </row>
    <row r="882" ht="15.75" customHeight="1">
      <c r="A882" s="101"/>
      <c r="B882" s="101"/>
      <c r="D882" s="104"/>
      <c r="F882" s="105"/>
    </row>
    <row r="883" ht="15.75" customHeight="1">
      <c r="A883" s="101"/>
      <c r="B883" s="101"/>
      <c r="D883" s="104"/>
      <c r="F883" s="105"/>
    </row>
    <row r="884" ht="15.75" customHeight="1">
      <c r="A884" s="101"/>
      <c r="B884" s="101"/>
      <c r="D884" s="104"/>
      <c r="F884" s="105"/>
    </row>
    <row r="885" ht="15.75" customHeight="1">
      <c r="A885" s="101"/>
      <c r="B885" s="101"/>
      <c r="D885" s="104"/>
      <c r="F885" s="105"/>
    </row>
    <row r="886" ht="15.75" customHeight="1">
      <c r="A886" s="101"/>
      <c r="B886" s="101"/>
      <c r="D886" s="104"/>
      <c r="F886" s="105"/>
    </row>
    <row r="887" ht="15.75" customHeight="1">
      <c r="A887" s="101"/>
      <c r="B887" s="101"/>
      <c r="D887" s="104"/>
      <c r="F887" s="105"/>
    </row>
    <row r="888" ht="15.75" customHeight="1">
      <c r="A888" s="101"/>
      <c r="B888" s="101"/>
      <c r="D888" s="104"/>
      <c r="F888" s="105"/>
    </row>
    <row r="889" ht="15.75" customHeight="1">
      <c r="A889" s="101"/>
      <c r="B889" s="101"/>
      <c r="D889" s="104"/>
      <c r="F889" s="105"/>
    </row>
    <row r="890" ht="15.75" customHeight="1">
      <c r="A890" s="101"/>
      <c r="B890" s="101"/>
      <c r="D890" s="104"/>
      <c r="F890" s="105"/>
    </row>
    <row r="891" ht="15.75" customHeight="1">
      <c r="A891" s="101"/>
      <c r="B891" s="101"/>
      <c r="D891" s="104"/>
      <c r="F891" s="105"/>
    </row>
    <row r="892" ht="15.75" customHeight="1">
      <c r="A892" s="101"/>
      <c r="B892" s="101"/>
      <c r="D892" s="104"/>
      <c r="F892" s="105"/>
    </row>
    <row r="893" ht="15.75" customHeight="1">
      <c r="A893" s="101"/>
      <c r="B893" s="101"/>
      <c r="D893" s="104"/>
      <c r="F893" s="105"/>
    </row>
    <row r="894" ht="15.75" customHeight="1">
      <c r="A894" s="101"/>
      <c r="B894" s="101"/>
      <c r="D894" s="104"/>
      <c r="F894" s="105"/>
    </row>
    <row r="895" ht="15.75" customHeight="1">
      <c r="A895" s="101"/>
      <c r="B895" s="101"/>
      <c r="D895" s="104"/>
      <c r="F895" s="105"/>
    </row>
    <row r="896" ht="15.75" customHeight="1">
      <c r="A896" s="101"/>
      <c r="B896" s="101"/>
      <c r="D896" s="104"/>
      <c r="F896" s="105"/>
    </row>
    <row r="897" ht="15.75" customHeight="1">
      <c r="A897" s="101"/>
      <c r="B897" s="101"/>
      <c r="D897" s="104"/>
      <c r="F897" s="105"/>
    </row>
    <row r="898" ht="15.75" customHeight="1">
      <c r="A898" s="101"/>
      <c r="B898" s="101"/>
      <c r="D898" s="104"/>
      <c r="F898" s="105"/>
    </row>
    <row r="899" ht="15.75" customHeight="1">
      <c r="A899" s="101"/>
      <c r="B899" s="101"/>
      <c r="D899" s="104"/>
      <c r="F899" s="105"/>
    </row>
    <row r="900" ht="15.75" customHeight="1">
      <c r="A900" s="101"/>
      <c r="B900" s="101"/>
      <c r="D900" s="104"/>
      <c r="F900" s="105"/>
    </row>
    <row r="901" ht="15.75" customHeight="1">
      <c r="A901" s="101"/>
      <c r="B901" s="101"/>
      <c r="D901" s="104"/>
      <c r="F901" s="105"/>
    </row>
    <row r="902" ht="15.75" customHeight="1">
      <c r="A902" s="101"/>
      <c r="B902" s="101"/>
      <c r="D902" s="104"/>
      <c r="F902" s="105"/>
    </row>
    <row r="903" ht="15.75" customHeight="1">
      <c r="A903" s="101"/>
      <c r="B903" s="101"/>
      <c r="D903" s="104"/>
      <c r="F903" s="105"/>
    </row>
    <row r="904" ht="15.75" customHeight="1">
      <c r="A904" s="101"/>
      <c r="B904" s="101"/>
      <c r="D904" s="104"/>
      <c r="F904" s="105"/>
    </row>
    <row r="905" ht="15.75" customHeight="1">
      <c r="A905" s="101"/>
      <c r="B905" s="101"/>
      <c r="D905" s="104"/>
      <c r="F905" s="105"/>
    </row>
    <row r="906" ht="15.75" customHeight="1">
      <c r="A906" s="101"/>
      <c r="B906" s="101"/>
      <c r="D906" s="104"/>
      <c r="F906" s="105"/>
    </row>
    <row r="907" ht="15.75" customHeight="1">
      <c r="A907" s="101"/>
      <c r="B907" s="101"/>
      <c r="D907" s="104"/>
      <c r="F907" s="105"/>
    </row>
    <row r="908" ht="15.75" customHeight="1">
      <c r="A908" s="101"/>
      <c r="B908" s="101"/>
      <c r="D908" s="104"/>
      <c r="F908" s="105"/>
    </row>
    <row r="909" ht="15.75" customHeight="1">
      <c r="A909" s="101"/>
      <c r="B909" s="101"/>
      <c r="D909" s="104"/>
      <c r="F909" s="105"/>
    </row>
    <row r="910" ht="15.75" customHeight="1">
      <c r="A910" s="101"/>
      <c r="B910" s="101"/>
      <c r="D910" s="104"/>
      <c r="F910" s="105"/>
    </row>
    <row r="911" ht="15.75" customHeight="1">
      <c r="A911" s="101"/>
      <c r="B911" s="101"/>
      <c r="D911" s="104"/>
      <c r="F911" s="105"/>
    </row>
    <row r="912" ht="15.75" customHeight="1">
      <c r="A912" s="101"/>
      <c r="B912" s="101"/>
      <c r="D912" s="104"/>
      <c r="F912" s="105"/>
    </row>
    <row r="913" ht="15.75" customHeight="1">
      <c r="A913" s="101"/>
      <c r="B913" s="101"/>
      <c r="D913" s="104"/>
      <c r="F913" s="105"/>
    </row>
    <row r="914" ht="15.75" customHeight="1">
      <c r="A914" s="101"/>
      <c r="B914" s="101"/>
      <c r="D914" s="104"/>
      <c r="F914" s="105"/>
    </row>
    <row r="915" ht="15.75" customHeight="1">
      <c r="A915" s="101"/>
      <c r="B915" s="101"/>
      <c r="D915" s="104"/>
      <c r="F915" s="105"/>
    </row>
    <row r="916" ht="15.75" customHeight="1">
      <c r="A916" s="101"/>
      <c r="B916" s="101"/>
      <c r="D916" s="104"/>
      <c r="F916" s="105"/>
    </row>
    <row r="917" ht="15.75" customHeight="1">
      <c r="A917" s="101"/>
      <c r="B917" s="101"/>
      <c r="D917" s="104"/>
      <c r="F917" s="105"/>
    </row>
    <row r="918" ht="15.75" customHeight="1">
      <c r="A918" s="101"/>
      <c r="B918" s="101"/>
      <c r="D918" s="104"/>
      <c r="F918" s="105"/>
    </row>
    <row r="919" ht="15.75" customHeight="1">
      <c r="A919" s="101"/>
      <c r="B919" s="101"/>
      <c r="D919" s="104"/>
      <c r="F919" s="105"/>
    </row>
    <row r="920" ht="15.75" customHeight="1">
      <c r="A920" s="101"/>
      <c r="B920" s="101"/>
      <c r="D920" s="104"/>
      <c r="F920" s="105"/>
    </row>
    <row r="921" ht="15.75" customHeight="1">
      <c r="A921" s="101"/>
      <c r="B921" s="101"/>
      <c r="D921" s="104"/>
      <c r="F921" s="105"/>
    </row>
    <row r="922" ht="15.75" customHeight="1">
      <c r="A922" s="101"/>
      <c r="B922" s="101"/>
      <c r="D922" s="104"/>
      <c r="F922" s="105"/>
    </row>
    <row r="923" ht="15.75" customHeight="1">
      <c r="A923" s="101"/>
      <c r="B923" s="101"/>
      <c r="D923" s="104"/>
      <c r="F923" s="105"/>
    </row>
    <row r="924" ht="15.75" customHeight="1">
      <c r="A924" s="101"/>
      <c r="B924" s="101"/>
      <c r="D924" s="104"/>
      <c r="F924" s="105"/>
    </row>
    <row r="925" ht="15.75" customHeight="1">
      <c r="A925" s="101"/>
      <c r="B925" s="101"/>
      <c r="D925" s="104"/>
      <c r="F925" s="105"/>
    </row>
    <row r="926" ht="15.75" customHeight="1">
      <c r="A926" s="101"/>
      <c r="B926" s="101"/>
      <c r="D926" s="104"/>
      <c r="F926" s="105"/>
    </row>
    <row r="927" ht="15.75" customHeight="1">
      <c r="A927" s="101"/>
      <c r="B927" s="101"/>
      <c r="D927" s="104"/>
      <c r="F927" s="105"/>
    </row>
    <row r="928" ht="15.75" customHeight="1">
      <c r="A928" s="101"/>
      <c r="B928" s="101"/>
      <c r="D928" s="104"/>
      <c r="F928" s="105"/>
    </row>
    <row r="929" ht="15.75" customHeight="1">
      <c r="A929" s="101"/>
      <c r="B929" s="101"/>
      <c r="D929" s="104"/>
      <c r="F929" s="105"/>
    </row>
    <row r="930" ht="15.75" customHeight="1">
      <c r="A930" s="101"/>
      <c r="B930" s="101"/>
      <c r="D930" s="104"/>
      <c r="F930" s="105"/>
    </row>
    <row r="931" ht="15.75" customHeight="1">
      <c r="A931" s="101"/>
      <c r="B931" s="101"/>
      <c r="D931" s="104"/>
      <c r="F931" s="105"/>
    </row>
    <row r="932" ht="15.75" customHeight="1">
      <c r="A932" s="101"/>
      <c r="B932" s="101"/>
      <c r="D932" s="104"/>
      <c r="F932" s="105"/>
    </row>
    <row r="933" ht="15.75" customHeight="1">
      <c r="A933" s="101"/>
      <c r="B933" s="101"/>
      <c r="D933" s="104"/>
      <c r="F933" s="105"/>
    </row>
    <row r="934" ht="15.75" customHeight="1">
      <c r="A934" s="101"/>
      <c r="B934" s="101"/>
      <c r="D934" s="104"/>
      <c r="F934" s="105"/>
    </row>
    <row r="935" ht="15.75" customHeight="1">
      <c r="A935" s="101"/>
      <c r="B935" s="101"/>
      <c r="D935" s="104"/>
      <c r="F935" s="105"/>
    </row>
    <row r="936" ht="15.75" customHeight="1">
      <c r="A936" s="101"/>
      <c r="B936" s="101"/>
      <c r="D936" s="104"/>
      <c r="F936" s="105"/>
    </row>
    <row r="937" ht="15.75" customHeight="1">
      <c r="A937" s="101"/>
      <c r="B937" s="101"/>
      <c r="D937" s="104"/>
      <c r="F937" s="105"/>
    </row>
    <row r="938" ht="15.75" customHeight="1">
      <c r="A938" s="101"/>
      <c r="B938" s="101"/>
      <c r="D938" s="104"/>
      <c r="F938" s="105"/>
    </row>
    <row r="939" ht="15.75" customHeight="1">
      <c r="A939" s="101"/>
      <c r="B939" s="101"/>
      <c r="D939" s="104"/>
      <c r="F939" s="105"/>
    </row>
    <row r="940" ht="15.75" customHeight="1">
      <c r="A940" s="101"/>
      <c r="B940" s="101"/>
      <c r="D940" s="104"/>
      <c r="F940" s="105"/>
    </row>
    <row r="941" ht="15.75" customHeight="1">
      <c r="A941" s="101"/>
      <c r="B941" s="101"/>
      <c r="D941" s="104"/>
      <c r="F941" s="105"/>
    </row>
    <row r="942" ht="15.75" customHeight="1">
      <c r="A942" s="101"/>
      <c r="B942" s="101"/>
      <c r="D942" s="104"/>
      <c r="F942" s="105"/>
    </row>
    <row r="943" ht="15.75" customHeight="1">
      <c r="A943" s="101"/>
      <c r="B943" s="101"/>
      <c r="D943" s="104"/>
      <c r="F943" s="105"/>
    </row>
    <row r="944" ht="15.75" customHeight="1">
      <c r="A944" s="101"/>
      <c r="B944" s="101"/>
      <c r="D944" s="104"/>
      <c r="F944" s="105"/>
    </row>
    <row r="945" ht="15.75" customHeight="1">
      <c r="A945" s="101"/>
      <c r="B945" s="101"/>
      <c r="D945" s="104"/>
      <c r="F945" s="105"/>
    </row>
    <row r="946" ht="15.75" customHeight="1">
      <c r="A946" s="101"/>
      <c r="B946" s="101"/>
      <c r="D946" s="104"/>
      <c r="F946" s="105"/>
    </row>
    <row r="947" ht="15.75" customHeight="1">
      <c r="A947" s="101"/>
      <c r="B947" s="101"/>
      <c r="D947" s="104"/>
      <c r="F947" s="105"/>
    </row>
    <row r="948" ht="15.75" customHeight="1">
      <c r="A948" s="101"/>
      <c r="B948" s="101"/>
      <c r="D948" s="104"/>
      <c r="F948" s="105"/>
    </row>
    <row r="949" ht="15.75" customHeight="1">
      <c r="A949" s="101"/>
      <c r="B949" s="101"/>
      <c r="D949" s="104"/>
      <c r="F949" s="105"/>
    </row>
    <row r="950" ht="15.75" customHeight="1">
      <c r="A950" s="101"/>
      <c r="B950" s="101"/>
      <c r="D950" s="104"/>
      <c r="F950" s="105"/>
    </row>
    <row r="951" ht="15.75" customHeight="1">
      <c r="A951" s="101"/>
      <c r="B951" s="101"/>
      <c r="D951" s="104"/>
      <c r="F951" s="105"/>
    </row>
    <row r="952" ht="15.75" customHeight="1">
      <c r="A952" s="101"/>
      <c r="B952" s="101"/>
      <c r="D952" s="104"/>
      <c r="F952" s="105"/>
    </row>
    <row r="953" ht="15.75" customHeight="1">
      <c r="A953" s="101"/>
      <c r="B953" s="101"/>
      <c r="D953" s="104"/>
      <c r="F953" s="105"/>
    </row>
    <row r="954" ht="15.75" customHeight="1">
      <c r="A954" s="101"/>
      <c r="B954" s="101"/>
      <c r="D954" s="104"/>
      <c r="F954" s="105"/>
    </row>
    <row r="955" ht="15.75" customHeight="1">
      <c r="A955" s="101"/>
      <c r="B955" s="101"/>
      <c r="D955" s="104"/>
      <c r="F955" s="105"/>
    </row>
    <row r="956" ht="15.75" customHeight="1">
      <c r="A956" s="101"/>
      <c r="B956" s="101"/>
      <c r="D956" s="104"/>
      <c r="F956" s="105"/>
    </row>
    <row r="957" ht="15.75" customHeight="1">
      <c r="A957" s="101"/>
      <c r="B957" s="101"/>
      <c r="D957" s="104"/>
      <c r="F957" s="105"/>
    </row>
    <row r="958" ht="15.75" customHeight="1">
      <c r="A958" s="101"/>
      <c r="B958" s="101"/>
      <c r="D958" s="104"/>
      <c r="F958" s="105"/>
    </row>
    <row r="959" ht="15.75" customHeight="1">
      <c r="A959" s="101"/>
      <c r="B959" s="101"/>
      <c r="D959" s="104"/>
      <c r="F959" s="105"/>
    </row>
    <row r="960" ht="15.75" customHeight="1">
      <c r="A960" s="101"/>
      <c r="B960" s="101"/>
      <c r="D960" s="104"/>
      <c r="F960" s="105"/>
    </row>
    <row r="961" ht="15.75" customHeight="1">
      <c r="A961" s="101"/>
      <c r="B961" s="101"/>
      <c r="D961" s="104"/>
      <c r="F961" s="105"/>
    </row>
    <row r="962" ht="15.75" customHeight="1">
      <c r="A962" s="101"/>
      <c r="B962" s="101"/>
      <c r="D962" s="104"/>
      <c r="F962" s="105"/>
    </row>
    <row r="963" ht="15.75" customHeight="1">
      <c r="A963" s="101"/>
      <c r="B963" s="101"/>
      <c r="D963" s="104"/>
      <c r="F963" s="105"/>
    </row>
    <row r="964" ht="15.75" customHeight="1">
      <c r="A964" s="101"/>
      <c r="B964" s="101"/>
      <c r="D964" s="104"/>
      <c r="F964" s="105"/>
    </row>
    <row r="965" ht="15.75" customHeight="1">
      <c r="A965" s="101"/>
      <c r="B965" s="101"/>
      <c r="D965" s="104"/>
      <c r="F965" s="105"/>
    </row>
    <row r="966" ht="15.75" customHeight="1">
      <c r="A966" s="101"/>
      <c r="B966" s="101"/>
      <c r="D966" s="104"/>
      <c r="F966" s="105"/>
    </row>
    <row r="967" ht="15.75" customHeight="1">
      <c r="A967" s="101"/>
      <c r="B967" s="101"/>
      <c r="D967" s="104"/>
      <c r="F967" s="105"/>
    </row>
    <row r="968" ht="15.75" customHeight="1">
      <c r="A968" s="101"/>
      <c r="B968" s="101"/>
      <c r="D968" s="104"/>
      <c r="F968" s="105"/>
    </row>
    <row r="969" ht="15.75" customHeight="1">
      <c r="A969" s="101"/>
      <c r="B969" s="101"/>
      <c r="D969" s="104"/>
      <c r="F969" s="105"/>
    </row>
    <row r="970" ht="15.75" customHeight="1">
      <c r="A970" s="101"/>
      <c r="B970" s="101"/>
      <c r="D970" s="104"/>
      <c r="F970" s="105"/>
    </row>
    <row r="971" ht="15.75" customHeight="1">
      <c r="A971" s="101"/>
      <c r="B971" s="101"/>
      <c r="D971" s="104"/>
      <c r="F971" s="105"/>
    </row>
    <row r="972" ht="15.75" customHeight="1">
      <c r="A972" s="101"/>
      <c r="B972" s="101"/>
      <c r="D972" s="104"/>
      <c r="F972" s="105"/>
    </row>
    <row r="973" ht="15.75" customHeight="1">
      <c r="A973" s="101"/>
      <c r="B973" s="101"/>
      <c r="D973" s="104"/>
      <c r="F973" s="105"/>
    </row>
    <row r="974" ht="15.75" customHeight="1">
      <c r="A974" s="101"/>
      <c r="B974" s="101"/>
      <c r="D974" s="104"/>
      <c r="F974" s="105"/>
    </row>
    <row r="975" ht="15.75" customHeight="1">
      <c r="A975" s="101"/>
      <c r="B975" s="101"/>
      <c r="D975" s="104"/>
      <c r="F975" s="105"/>
    </row>
    <row r="976" ht="15.75" customHeight="1">
      <c r="A976" s="101"/>
      <c r="B976" s="101"/>
      <c r="D976" s="104"/>
      <c r="F976" s="105"/>
    </row>
    <row r="977" ht="15.75" customHeight="1">
      <c r="A977" s="101"/>
      <c r="B977" s="101"/>
      <c r="D977" s="104"/>
      <c r="F977" s="105"/>
    </row>
    <row r="978" ht="15.75" customHeight="1">
      <c r="A978" s="101"/>
      <c r="B978" s="101"/>
      <c r="D978" s="104"/>
      <c r="F978" s="105"/>
    </row>
    <row r="979" ht="15.75" customHeight="1">
      <c r="A979" s="101"/>
      <c r="B979" s="101"/>
      <c r="D979" s="104"/>
      <c r="F979" s="105"/>
    </row>
    <row r="980" ht="15.75" customHeight="1">
      <c r="A980" s="101"/>
      <c r="B980" s="101"/>
      <c r="D980" s="104"/>
      <c r="F980" s="105"/>
    </row>
    <row r="981" ht="15.75" customHeight="1">
      <c r="A981" s="101"/>
      <c r="B981" s="101"/>
      <c r="D981" s="104"/>
      <c r="F981" s="105"/>
    </row>
    <row r="982" ht="15.75" customHeight="1">
      <c r="A982" s="101"/>
      <c r="B982" s="101"/>
      <c r="D982" s="104"/>
      <c r="F982" s="105"/>
    </row>
    <row r="983" ht="15.75" customHeight="1">
      <c r="A983" s="101"/>
      <c r="B983" s="101"/>
      <c r="D983" s="104"/>
      <c r="F983" s="105"/>
    </row>
    <row r="984" ht="15.75" customHeight="1">
      <c r="A984" s="101"/>
      <c r="B984" s="101"/>
      <c r="D984" s="104"/>
      <c r="F984" s="105"/>
    </row>
    <row r="985" ht="15.75" customHeight="1">
      <c r="A985" s="101"/>
      <c r="B985" s="101"/>
      <c r="D985" s="104"/>
      <c r="F985" s="105"/>
    </row>
    <row r="986" ht="15.75" customHeight="1">
      <c r="A986" s="101"/>
      <c r="B986" s="101"/>
      <c r="D986" s="104"/>
      <c r="F986" s="105"/>
    </row>
    <row r="987" ht="15.75" customHeight="1">
      <c r="A987" s="101"/>
      <c r="B987" s="101"/>
      <c r="D987" s="104"/>
      <c r="F987" s="105"/>
    </row>
    <row r="988" ht="15.75" customHeight="1">
      <c r="A988" s="101"/>
      <c r="B988" s="101"/>
      <c r="D988" s="104"/>
      <c r="F988" s="105"/>
    </row>
    <row r="989" ht="15.75" customHeight="1">
      <c r="A989" s="101"/>
      <c r="B989" s="101"/>
      <c r="D989" s="104"/>
      <c r="F989" s="105"/>
    </row>
    <row r="990" ht="15.75" customHeight="1">
      <c r="A990" s="101"/>
      <c r="B990" s="101"/>
      <c r="D990" s="104"/>
      <c r="F990" s="105"/>
    </row>
    <row r="991" ht="15.75" customHeight="1">
      <c r="A991" s="101"/>
      <c r="B991" s="101"/>
      <c r="D991" s="104"/>
      <c r="F991" s="105"/>
    </row>
    <row r="992" ht="15.75" customHeight="1">
      <c r="A992" s="101"/>
      <c r="B992" s="101"/>
      <c r="D992" s="104"/>
      <c r="F992" s="105"/>
    </row>
    <row r="993" ht="15.75" customHeight="1">
      <c r="A993" s="101"/>
      <c r="B993" s="101"/>
      <c r="D993" s="104"/>
      <c r="F993" s="105"/>
    </row>
    <row r="994" ht="15.75" customHeight="1">
      <c r="A994" s="101"/>
      <c r="B994" s="101"/>
      <c r="D994" s="104"/>
      <c r="F994" s="105"/>
    </row>
    <row r="995" ht="15.75" customHeight="1">
      <c r="A995" s="101"/>
      <c r="B995" s="101"/>
      <c r="D995" s="104"/>
      <c r="F995" s="105"/>
    </row>
    <row r="996" ht="15.75" customHeight="1">
      <c r="A996" s="101"/>
      <c r="B996" s="101"/>
      <c r="D996" s="104"/>
      <c r="F996" s="105"/>
    </row>
    <row r="997" ht="15.75" customHeight="1">
      <c r="A997" s="101"/>
      <c r="B997" s="101"/>
      <c r="D997" s="104"/>
      <c r="F997" s="105"/>
    </row>
    <row r="998" ht="15.75" customHeight="1">
      <c r="A998" s="101"/>
      <c r="B998" s="101"/>
      <c r="D998" s="104"/>
      <c r="F998" s="105"/>
    </row>
    <row r="999" ht="15.75" customHeight="1">
      <c r="A999" s="101"/>
      <c r="B999" s="101"/>
      <c r="D999" s="104"/>
      <c r="F999" s="105"/>
    </row>
    <row r="1000" ht="15.75" customHeight="1">
      <c r="A1000" s="101"/>
      <c r="B1000" s="101"/>
      <c r="D1000" s="104"/>
      <c r="F1000" s="105"/>
    </row>
  </sheetData>
  <mergeCells count="3">
    <mergeCell ref="A6:A11"/>
    <mergeCell ref="A12:A14"/>
    <mergeCell ref="A1:F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8.86"/>
    <col customWidth="1" min="7" max="26" width="9.14"/>
  </cols>
  <sheetData>
    <row r="1">
      <c r="A1" s="3" t="s">
        <v>3</v>
      </c>
      <c r="B1" s="4"/>
      <c r="C1" s="4"/>
      <c r="D1" s="4"/>
      <c r="E1" s="4"/>
      <c r="F1" s="7"/>
      <c r="G1" s="12"/>
    </row>
    <row r="2">
      <c r="A2" s="8"/>
      <c r="B2" s="9"/>
      <c r="C2" s="9"/>
      <c r="D2" s="9"/>
      <c r="E2" s="9"/>
      <c r="F2" s="14"/>
      <c r="G2" s="12"/>
    </row>
    <row r="3">
      <c r="A3" s="18" t="s">
        <v>8</v>
      </c>
      <c r="B3" s="15" t="s">
        <v>9</v>
      </c>
      <c r="C3" s="23" t="s">
        <v>14</v>
      </c>
      <c r="D3" s="25" t="s">
        <v>15</v>
      </c>
      <c r="E3" s="18" t="s">
        <v>16</v>
      </c>
      <c r="F3" s="27" t="s">
        <v>7</v>
      </c>
      <c r="G3" s="12"/>
    </row>
    <row r="4">
      <c r="A4" s="29">
        <v>46241.0</v>
      </c>
      <c r="B4" s="31"/>
      <c r="C4" s="33"/>
      <c r="D4" s="38"/>
      <c r="E4" s="40">
        <v>9792.0</v>
      </c>
      <c r="F4" s="41">
        <v>72.0</v>
      </c>
      <c r="G4" s="12"/>
    </row>
    <row r="5">
      <c r="A5" s="47">
        <v>46245.0</v>
      </c>
      <c r="B5" s="44" t="s">
        <v>17</v>
      </c>
      <c r="C5" s="50"/>
      <c r="D5" s="52">
        <v>360.0</v>
      </c>
      <c r="E5" s="58">
        <f t="shared" ref="E5:E50" si="1">E4-D5+C5</f>
        <v>9432</v>
      </c>
      <c r="F5" s="59">
        <f>E5/F4</f>
        <v>131</v>
      </c>
      <c r="G5" s="12"/>
    </row>
    <row r="6">
      <c r="A6" s="65"/>
      <c r="B6" s="53" t="s">
        <v>19</v>
      </c>
      <c r="C6" s="58"/>
      <c r="D6" s="52">
        <v>2160.0</v>
      </c>
      <c r="E6" s="58">
        <f t="shared" si="1"/>
        <v>7272</v>
      </c>
      <c r="F6" s="59">
        <f>E6/F4</f>
        <v>101</v>
      </c>
      <c r="G6" s="12"/>
    </row>
    <row r="7">
      <c r="A7" s="65"/>
      <c r="B7" s="53" t="s">
        <v>24</v>
      </c>
      <c r="C7" s="58"/>
      <c r="D7" s="52">
        <v>360.0</v>
      </c>
      <c r="E7" s="58">
        <f t="shared" si="1"/>
        <v>6912</v>
      </c>
      <c r="F7" s="59">
        <f>E7/F4</f>
        <v>96</v>
      </c>
      <c r="G7" s="12"/>
    </row>
    <row r="8">
      <c r="A8" s="65"/>
      <c r="B8" s="53" t="s">
        <v>26</v>
      </c>
      <c r="C8" s="58"/>
      <c r="D8" s="52">
        <v>144.0</v>
      </c>
      <c r="E8" s="58">
        <f t="shared" si="1"/>
        <v>6768</v>
      </c>
      <c r="F8" s="59">
        <f>E8/F4</f>
        <v>94</v>
      </c>
      <c r="G8" s="12"/>
    </row>
    <row r="9">
      <c r="A9" s="65"/>
      <c r="B9" s="53" t="s">
        <v>27</v>
      </c>
      <c r="C9" s="58"/>
      <c r="D9" s="52">
        <v>72.0</v>
      </c>
      <c r="E9" s="58">
        <f t="shared" si="1"/>
        <v>6696</v>
      </c>
      <c r="F9" s="59">
        <f>E9/F4</f>
        <v>93</v>
      </c>
      <c r="G9" s="12"/>
    </row>
    <row r="10">
      <c r="A10" s="67"/>
      <c r="B10" s="53" t="s">
        <v>28</v>
      </c>
      <c r="C10" s="58"/>
      <c r="D10" s="52">
        <v>144.0</v>
      </c>
      <c r="E10" s="58">
        <f t="shared" si="1"/>
        <v>6552</v>
      </c>
      <c r="F10" s="59">
        <f>E10/F4</f>
        <v>91</v>
      </c>
      <c r="G10" s="12"/>
    </row>
    <row r="11">
      <c r="A11" s="68">
        <v>46246.0</v>
      </c>
      <c r="B11" s="53" t="s">
        <v>30</v>
      </c>
      <c r="C11" s="58"/>
      <c r="D11" s="52">
        <v>144.0</v>
      </c>
      <c r="E11" s="58">
        <f t="shared" si="1"/>
        <v>6408</v>
      </c>
      <c r="F11" s="59">
        <f>E11/F4</f>
        <v>89</v>
      </c>
      <c r="G11" s="12"/>
    </row>
    <row r="12">
      <c r="A12" s="65"/>
      <c r="B12" s="53" t="s">
        <v>33</v>
      </c>
      <c r="C12" s="69"/>
      <c r="D12" s="70">
        <v>72.0</v>
      </c>
      <c r="E12" s="58">
        <f t="shared" si="1"/>
        <v>6336</v>
      </c>
      <c r="F12" s="59">
        <f>E12/F4</f>
        <v>88</v>
      </c>
      <c r="G12" s="12"/>
    </row>
    <row r="13">
      <c r="A13" s="65"/>
      <c r="B13" s="53" t="s">
        <v>34</v>
      </c>
      <c r="C13" s="69"/>
      <c r="D13" s="70">
        <v>72.0</v>
      </c>
      <c r="E13" s="58">
        <f t="shared" si="1"/>
        <v>6264</v>
      </c>
      <c r="F13" s="59">
        <f>E13/F4</f>
        <v>87</v>
      </c>
      <c r="G13" s="12"/>
    </row>
    <row r="14">
      <c r="A14" s="67"/>
      <c r="B14" s="62" t="s">
        <v>20</v>
      </c>
      <c r="C14" s="69"/>
      <c r="D14" s="70">
        <v>3600.0</v>
      </c>
      <c r="E14" s="58">
        <f t="shared" si="1"/>
        <v>2664</v>
      </c>
      <c r="F14" s="59">
        <f>E14/F4</f>
        <v>37</v>
      </c>
      <c r="G14" s="12"/>
    </row>
    <row r="15">
      <c r="A15" s="75"/>
      <c r="B15" s="69"/>
      <c r="C15" s="69"/>
      <c r="D15" s="80"/>
      <c r="E15" s="58">
        <f t="shared" si="1"/>
        <v>2664</v>
      </c>
      <c r="F15" s="59">
        <f>E15/F4</f>
        <v>37</v>
      </c>
      <c r="G15" s="12"/>
    </row>
    <row r="16">
      <c r="A16" s="75"/>
      <c r="B16" s="69"/>
      <c r="C16" s="69"/>
      <c r="D16" s="80"/>
      <c r="E16" s="58">
        <f t="shared" si="1"/>
        <v>2664</v>
      </c>
      <c r="F16" s="59">
        <f>E16/F4</f>
        <v>37</v>
      </c>
      <c r="G16" s="12"/>
    </row>
    <row r="17">
      <c r="A17" s="75"/>
      <c r="B17" s="69"/>
      <c r="C17" s="69"/>
      <c r="D17" s="80"/>
      <c r="E17" s="58">
        <f t="shared" si="1"/>
        <v>2664</v>
      </c>
      <c r="F17" s="59">
        <f>E17/F4</f>
        <v>37</v>
      </c>
      <c r="G17" s="12"/>
    </row>
    <row r="18">
      <c r="A18" s="75"/>
      <c r="B18" s="69"/>
      <c r="C18" s="69"/>
      <c r="D18" s="80"/>
      <c r="E18" s="58">
        <f t="shared" si="1"/>
        <v>2664</v>
      </c>
      <c r="F18" s="59">
        <f>E18/F4</f>
        <v>37</v>
      </c>
      <c r="G18" s="12"/>
    </row>
    <row r="19">
      <c r="A19" s="75"/>
      <c r="B19" s="69"/>
      <c r="C19" s="69"/>
      <c r="D19" s="80"/>
      <c r="E19" s="58">
        <f t="shared" si="1"/>
        <v>2664</v>
      </c>
      <c r="F19" s="59">
        <f>E19/F4</f>
        <v>37</v>
      </c>
      <c r="G19" s="12"/>
    </row>
    <row r="20">
      <c r="A20" s="75"/>
      <c r="B20" s="69"/>
      <c r="C20" s="69"/>
      <c r="D20" s="80"/>
      <c r="E20" s="58">
        <f t="shared" si="1"/>
        <v>2664</v>
      </c>
      <c r="F20" s="59">
        <f>E20/F4</f>
        <v>37</v>
      </c>
      <c r="G20" s="12"/>
    </row>
    <row r="21" ht="15.75" customHeight="1">
      <c r="A21" s="75"/>
      <c r="B21" s="69"/>
      <c r="C21" s="69"/>
      <c r="D21" s="80"/>
      <c r="E21" s="58">
        <f t="shared" si="1"/>
        <v>2664</v>
      </c>
      <c r="F21" s="59">
        <f>E21/F4</f>
        <v>37</v>
      </c>
      <c r="G21" s="12"/>
    </row>
    <row r="22" ht="15.75" customHeight="1">
      <c r="A22" s="75"/>
      <c r="B22" s="69"/>
      <c r="C22" s="69"/>
      <c r="D22" s="80"/>
      <c r="E22" s="58">
        <f t="shared" si="1"/>
        <v>2664</v>
      </c>
      <c r="F22" s="59">
        <f>E22/F4</f>
        <v>37</v>
      </c>
      <c r="G22" s="12"/>
    </row>
    <row r="23" ht="15.75" customHeight="1">
      <c r="A23" s="75"/>
      <c r="B23" s="69"/>
      <c r="C23" s="69"/>
      <c r="D23" s="80"/>
      <c r="E23" s="58">
        <f t="shared" si="1"/>
        <v>2664</v>
      </c>
      <c r="F23" s="59">
        <f>E23/F4</f>
        <v>37</v>
      </c>
      <c r="G23" s="12"/>
    </row>
    <row r="24" ht="15.75" customHeight="1">
      <c r="A24" s="75"/>
      <c r="B24" s="69"/>
      <c r="C24" s="69"/>
      <c r="D24" s="80"/>
      <c r="E24" s="58">
        <f t="shared" si="1"/>
        <v>2664</v>
      </c>
      <c r="F24" s="59">
        <f>E24/F4</f>
        <v>37</v>
      </c>
      <c r="G24" s="12"/>
    </row>
    <row r="25" ht="15.75" customHeight="1">
      <c r="A25" s="75"/>
      <c r="B25" s="69"/>
      <c r="C25" s="69"/>
      <c r="D25" s="80"/>
      <c r="E25" s="58">
        <f t="shared" si="1"/>
        <v>2664</v>
      </c>
      <c r="F25" s="59">
        <f>E25/F4</f>
        <v>37</v>
      </c>
      <c r="G25" s="12"/>
    </row>
    <row r="26" ht="15.75" customHeight="1">
      <c r="A26" s="75"/>
      <c r="B26" s="69"/>
      <c r="C26" s="69"/>
      <c r="D26" s="80"/>
      <c r="E26" s="58">
        <f t="shared" si="1"/>
        <v>2664</v>
      </c>
      <c r="F26" s="59">
        <f>E26/F4</f>
        <v>37</v>
      </c>
      <c r="G26" s="12"/>
    </row>
    <row r="27" ht="15.75" customHeight="1">
      <c r="A27" s="75"/>
      <c r="B27" s="69"/>
      <c r="C27" s="69"/>
      <c r="D27" s="80"/>
      <c r="E27" s="58">
        <f t="shared" si="1"/>
        <v>2664</v>
      </c>
      <c r="F27" s="59">
        <f>E27/F4</f>
        <v>37</v>
      </c>
      <c r="G27" s="12"/>
    </row>
    <row r="28" ht="15.75" customHeight="1">
      <c r="A28" s="75"/>
      <c r="B28" s="69"/>
      <c r="C28" s="69"/>
      <c r="D28" s="80"/>
      <c r="E28" s="58">
        <f t="shared" si="1"/>
        <v>2664</v>
      </c>
      <c r="F28" s="59">
        <f>E28/F4</f>
        <v>37</v>
      </c>
      <c r="G28" s="12"/>
    </row>
    <row r="29" ht="15.75" customHeight="1">
      <c r="A29" s="75"/>
      <c r="B29" s="69"/>
      <c r="C29" s="69"/>
      <c r="D29" s="80"/>
      <c r="E29" s="58">
        <f t="shared" si="1"/>
        <v>2664</v>
      </c>
      <c r="F29" s="59">
        <f>E29/F4</f>
        <v>37</v>
      </c>
      <c r="G29" s="12"/>
    </row>
    <row r="30" ht="15.75" customHeight="1">
      <c r="A30" s="75"/>
      <c r="B30" s="69"/>
      <c r="C30" s="69"/>
      <c r="D30" s="80"/>
      <c r="E30" s="58">
        <f t="shared" si="1"/>
        <v>2664</v>
      </c>
      <c r="F30" s="59">
        <f>E30/F4</f>
        <v>37</v>
      </c>
      <c r="G30" s="12"/>
    </row>
    <row r="31" ht="15.75" customHeight="1">
      <c r="A31" s="75"/>
      <c r="B31" s="69"/>
      <c r="C31" s="69"/>
      <c r="D31" s="80"/>
      <c r="E31" s="58">
        <f t="shared" si="1"/>
        <v>2664</v>
      </c>
      <c r="F31" s="59">
        <f>E31/F4</f>
        <v>37</v>
      </c>
      <c r="G31" s="12"/>
    </row>
    <row r="32" ht="15.75" customHeight="1">
      <c r="A32" s="75"/>
      <c r="B32" s="69"/>
      <c r="C32" s="69"/>
      <c r="D32" s="80"/>
      <c r="E32" s="58">
        <f t="shared" si="1"/>
        <v>2664</v>
      </c>
      <c r="F32" s="59">
        <f>E32/F4</f>
        <v>37</v>
      </c>
      <c r="G32" s="12"/>
    </row>
    <row r="33" ht="15.75" customHeight="1">
      <c r="A33" s="75"/>
      <c r="B33" s="69"/>
      <c r="C33" s="69"/>
      <c r="D33" s="80"/>
      <c r="E33" s="58">
        <f t="shared" si="1"/>
        <v>2664</v>
      </c>
      <c r="F33" s="59">
        <f>E33/F4</f>
        <v>37</v>
      </c>
      <c r="G33" s="12"/>
    </row>
    <row r="34" ht="15.75" customHeight="1">
      <c r="A34" s="75"/>
      <c r="B34" s="69"/>
      <c r="C34" s="69"/>
      <c r="D34" s="80"/>
      <c r="E34" s="58">
        <f t="shared" si="1"/>
        <v>2664</v>
      </c>
      <c r="F34" s="59">
        <f>E34/F4</f>
        <v>37</v>
      </c>
      <c r="G34" s="12"/>
    </row>
    <row r="35" ht="15.75" customHeight="1">
      <c r="A35" s="75"/>
      <c r="B35" s="69"/>
      <c r="C35" s="69"/>
      <c r="D35" s="80"/>
      <c r="E35" s="58">
        <f t="shared" si="1"/>
        <v>2664</v>
      </c>
      <c r="F35" s="59">
        <f>E35/F4</f>
        <v>37</v>
      </c>
      <c r="G35" s="12"/>
    </row>
    <row r="36" ht="15.75" customHeight="1">
      <c r="A36" s="75"/>
      <c r="B36" s="69"/>
      <c r="C36" s="69"/>
      <c r="D36" s="80"/>
      <c r="E36" s="58">
        <f t="shared" si="1"/>
        <v>2664</v>
      </c>
      <c r="F36" s="59">
        <f>E36/F4</f>
        <v>37</v>
      </c>
      <c r="G36" s="12"/>
    </row>
    <row r="37" ht="15.75" customHeight="1">
      <c r="A37" s="75"/>
      <c r="B37" s="69"/>
      <c r="C37" s="69"/>
      <c r="D37" s="80"/>
      <c r="E37" s="58">
        <f t="shared" si="1"/>
        <v>2664</v>
      </c>
      <c r="F37" s="59">
        <f>E37/F4</f>
        <v>37</v>
      </c>
      <c r="G37" s="12"/>
    </row>
    <row r="38" ht="15.75" customHeight="1">
      <c r="A38" s="75"/>
      <c r="B38" s="69"/>
      <c r="C38" s="69"/>
      <c r="D38" s="80"/>
      <c r="E38" s="58">
        <f t="shared" si="1"/>
        <v>2664</v>
      </c>
      <c r="F38" s="59">
        <f>E38/F4</f>
        <v>37</v>
      </c>
      <c r="G38" s="12"/>
    </row>
    <row r="39" ht="15.75" customHeight="1">
      <c r="A39" s="75"/>
      <c r="B39" s="69"/>
      <c r="C39" s="69"/>
      <c r="D39" s="80"/>
      <c r="E39" s="58">
        <f t="shared" si="1"/>
        <v>2664</v>
      </c>
      <c r="F39" s="59">
        <f>E39/F4</f>
        <v>37</v>
      </c>
      <c r="G39" s="12"/>
    </row>
    <row r="40" ht="15.75" customHeight="1">
      <c r="A40" s="75"/>
      <c r="B40" s="69"/>
      <c r="C40" s="69"/>
      <c r="D40" s="80"/>
      <c r="E40" s="58">
        <f t="shared" si="1"/>
        <v>2664</v>
      </c>
      <c r="F40" s="59">
        <f>E40/F4</f>
        <v>37</v>
      </c>
      <c r="G40" s="12"/>
    </row>
    <row r="41" ht="15.75" customHeight="1">
      <c r="A41" s="75"/>
      <c r="B41" s="69"/>
      <c r="C41" s="69"/>
      <c r="D41" s="80"/>
      <c r="E41" s="58">
        <f t="shared" si="1"/>
        <v>2664</v>
      </c>
      <c r="F41" s="59">
        <f>E41/F4</f>
        <v>37</v>
      </c>
      <c r="G41" s="12"/>
    </row>
    <row r="42" ht="15.75" customHeight="1">
      <c r="A42" s="75"/>
      <c r="B42" s="69"/>
      <c r="C42" s="69"/>
      <c r="D42" s="80"/>
      <c r="E42" s="58">
        <f t="shared" si="1"/>
        <v>2664</v>
      </c>
      <c r="F42" s="59">
        <f>E42/F4</f>
        <v>37</v>
      </c>
      <c r="G42" s="12"/>
    </row>
    <row r="43" ht="15.75" customHeight="1">
      <c r="A43" s="75"/>
      <c r="B43" s="69"/>
      <c r="C43" s="69"/>
      <c r="D43" s="80"/>
      <c r="E43" s="58">
        <f t="shared" si="1"/>
        <v>2664</v>
      </c>
      <c r="F43" s="59">
        <f>E43/F4</f>
        <v>37</v>
      </c>
      <c r="G43" s="12"/>
    </row>
    <row r="44" ht="15.75" customHeight="1">
      <c r="A44" s="75"/>
      <c r="B44" s="69"/>
      <c r="C44" s="69"/>
      <c r="D44" s="80"/>
      <c r="E44" s="58">
        <f t="shared" si="1"/>
        <v>2664</v>
      </c>
      <c r="F44" s="59">
        <f>E44/F4</f>
        <v>37</v>
      </c>
      <c r="G44" s="12"/>
    </row>
    <row r="45" ht="15.75" customHeight="1">
      <c r="A45" s="75"/>
      <c r="B45" s="69"/>
      <c r="C45" s="69"/>
      <c r="D45" s="80"/>
      <c r="E45" s="58">
        <f t="shared" si="1"/>
        <v>2664</v>
      </c>
      <c r="F45" s="59">
        <f>E45/F4</f>
        <v>37</v>
      </c>
      <c r="G45" s="12"/>
    </row>
    <row r="46" ht="15.75" customHeight="1">
      <c r="A46" s="75"/>
      <c r="B46" s="69"/>
      <c r="C46" s="69"/>
      <c r="D46" s="80"/>
      <c r="E46" s="58">
        <f t="shared" si="1"/>
        <v>2664</v>
      </c>
      <c r="F46" s="59">
        <f>E46/F4</f>
        <v>37</v>
      </c>
      <c r="G46" s="12"/>
    </row>
    <row r="47" ht="15.75" customHeight="1">
      <c r="A47" s="75"/>
      <c r="B47" s="69"/>
      <c r="C47" s="69"/>
      <c r="D47" s="80"/>
      <c r="E47" s="58">
        <f t="shared" si="1"/>
        <v>2664</v>
      </c>
      <c r="F47" s="59">
        <f>E47/F4</f>
        <v>37</v>
      </c>
      <c r="G47" s="12"/>
    </row>
    <row r="48" ht="15.75" customHeight="1">
      <c r="A48" s="75"/>
      <c r="B48" s="69"/>
      <c r="C48" s="69"/>
      <c r="D48" s="80"/>
      <c r="E48" s="58">
        <f t="shared" si="1"/>
        <v>2664</v>
      </c>
      <c r="F48" s="59">
        <f>E48/F4</f>
        <v>37</v>
      </c>
      <c r="G48" s="12"/>
    </row>
    <row r="49" ht="15.75" customHeight="1">
      <c r="A49" s="75"/>
      <c r="B49" s="69"/>
      <c r="C49" s="69"/>
      <c r="D49" s="80"/>
      <c r="E49" s="58">
        <f t="shared" si="1"/>
        <v>2664</v>
      </c>
      <c r="F49" s="59">
        <f>E49/F4</f>
        <v>37</v>
      </c>
      <c r="G49" s="12"/>
    </row>
    <row r="50" ht="15.75" customHeight="1">
      <c r="A50" s="75"/>
      <c r="B50" s="69"/>
      <c r="C50" s="69"/>
      <c r="D50" s="80"/>
      <c r="E50" s="58">
        <f t="shared" si="1"/>
        <v>2664</v>
      </c>
      <c r="F50" s="59">
        <f>E50/F4</f>
        <v>37</v>
      </c>
      <c r="G50" s="12"/>
    </row>
    <row r="51" ht="15.75" customHeight="1">
      <c r="B51" s="12"/>
      <c r="C51" s="12"/>
      <c r="D51" s="96"/>
      <c r="G51" s="12"/>
    </row>
    <row r="52" ht="15.75" customHeight="1">
      <c r="B52" s="12"/>
      <c r="C52" s="12"/>
      <c r="D52" s="96"/>
      <c r="G52" s="12"/>
    </row>
    <row r="53" ht="15.75" customHeight="1">
      <c r="B53" s="12"/>
      <c r="C53" s="12"/>
      <c r="D53" s="96"/>
      <c r="G53" s="12"/>
    </row>
    <row r="54" ht="15.75" customHeight="1">
      <c r="B54" s="12"/>
      <c r="C54" s="12"/>
      <c r="D54" s="96"/>
      <c r="G54" s="12"/>
    </row>
    <row r="55" ht="15.75" customHeight="1">
      <c r="D55" s="98"/>
      <c r="G55" s="12"/>
    </row>
    <row r="56" ht="15.75" customHeight="1">
      <c r="D56" s="98"/>
      <c r="G56" s="12"/>
    </row>
    <row r="57" ht="15.75" customHeight="1">
      <c r="D57" s="98"/>
      <c r="G57" s="12"/>
    </row>
    <row r="58" ht="15.75" customHeight="1">
      <c r="D58" s="98"/>
      <c r="G58" s="12"/>
    </row>
    <row r="59" ht="15.75" customHeight="1">
      <c r="D59" s="98"/>
      <c r="G59" s="12"/>
    </row>
    <row r="60" ht="15.75" customHeight="1">
      <c r="D60" s="98"/>
      <c r="G60" s="12"/>
    </row>
    <row r="61" ht="15.75" customHeight="1">
      <c r="D61" s="98"/>
      <c r="G61" s="12"/>
    </row>
    <row r="62" ht="15.75" customHeight="1">
      <c r="D62" s="98"/>
      <c r="G62" s="12"/>
    </row>
    <row r="63" ht="15.75" customHeight="1">
      <c r="D63" s="98"/>
      <c r="G63" s="12"/>
    </row>
    <row r="64" ht="15.75" customHeight="1">
      <c r="D64" s="98"/>
      <c r="G64" s="12"/>
    </row>
    <row r="65" ht="15.75" customHeight="1">
      <c r="D65" s="98"/>
      <c r="G65" s="12"/>
    </row>
    <row r="66" ht="15.75" customHeight="1">
      <c r="D66" s="98"/>
      <c r="G66" s="12"/>
    </row>
    <row r="67" ht="15.75" customHeight="1">
      <c r="D67" s="98"/>
      <c r="G67" s="12"/>
    </row>
    <row r="68" ht="15.75" customHeight="1">
      <c r="D68" s="98"/>
      <c r="G68" s="12"/>
    </row>
    <row r="69" ht="15.75" customHeight="1">
      <c r="D69" s="98"/>
      <c r="G69" s="12"/>
    </row>
    <row r="70" ht="15.75" customHeight="1">
      <c r="D70" s="98"/>
      <c r="G70" s="12"/>
    </row>
    <row r="71" ht="15.75" customHeight="1">
      <c r="D71" s="98"/>
      <c r="G71" s="12"/>
    </row>
    <row r="72" ht="15.75" customHeight="1">
      <c r="D72" s="98"/>
      <c r="G72" s="12"/>
    </row>
    <row r="73" ht="15.75" customHeight="1">
      <c r="D73" s="98"/>
      <c r="G73" s="12"/>
    </row>
    <row r="74" ht="15.75" customHeight="1">
      <c r="D74" s="98"/>
      <c r="G74" s="12"/>
    </row>
    <row r="75" ht="15.75" customHeight="1">
      <c r="D75" s="98"/>
      <c r="G75" s="12"/>
    </row>
    <row r="76" ht="15.75" customHeight="1">
      <c r="D76" s="98"/>
      <c r="G76" s="12"/>
    </row>
    <row r="77" ht="15.75" customHeight="1">
      <c r="D77" s="98"/>
      <c r="G77" s="12"/>
    </row>
    <row r="78" ht="15.75" customHeight="1">
      <c r="D78" s="98"/>
      <c r="G78" s="12"/>
    </row>
    <row r="79" ht="15.75" customHeight="1">
      <c r="D79" s="98"/>
      <c r="G79" s="12"/>
    </row>
    <row r="80" ht="15.75" customHeight="1">
      <c r="D80" s="98"/>
      <c r="G80" s="12"/>
    </row>
    <row r="81" ht="15.75" customHeight="1">
      <c r="D81" s="98"/>
      <c r="G81" s="12"/>
    </row>
    <row r="82" ht="15.75" customHeight="1">
      <c r="D82" s="98"/>
      <c r="G82" s="12"/>
    </row>
    <row r="83" ht="15.75" customHeight="1">
      <c r="D83" s="98"/>
      <c r="G83" s="12"/>
    </row>
    <row r="84" ht="15.75" customHeight="1">
      <c r="D84" s="98"/>
      <c r="G84" s="12"/>
    </row>
    <row r="85" ht="15.75" customHeight="1">
      <c r="D85" s="98"/>
      <c r="G85" s="12"/>
    </row>
    <row r="86" ht="15.75" customHeight="1">
      <c r="D86" s="98"/>
      <c r="G86" s="12"/>
    </row>
    <row r="87" ht="15.75" customHeight="1">
      <c r="D87" s="98"/>
      <c r="G87" s="12"/>
    </row>
    <row r="88" ht="15.75" customHeight="1">
      <c r="D88" s="98"/>
      <c r="G88" s="12"/>
    </row>
    <row r="89" ht="15.75" customHeight="1">
      <c r="D89" s="98"/>
      <c r="G89" s="12"/>
    </row>
    <row r="90" ht="15.75" customHeight="1">
      <c r="D90" s="98"/>
      <c r="G90" s="12"/>
    </row>
    <row r="91" ht="15.75" customHeight="1">
      <c r="D91" s="98"/>
      <c r="G91" s="12"/>
    </row>
    <row r="92" ht="15.75" customHeight="1">
      <c r="D92" s="98"/>
      <c r="G92" s="12"/>
    </row>
    <row r="93" ht="15.75" customHeight="1">
      <c r="D93" s="98"/>
      <c r="G93" s="12"/>
    </row>
    <row r="94" ht="15.75" customHeight="1">
      <c r="D94" s="98"/>
      <c r="G94" s="12"/>
    </row>
    <row r="95" ht="15.75" customHeight="1">
      <c r="D95" s="98"/>
      <c r="G95" s="12"/>
    </row>
    <row r="96" ht="15.75" customHeight="1">
      <c r="D96" s="98"/>
      <c r="G96" s="12"/>
    </row>
    <row r="97" ht="15.75" customHeight="1">
      <c r="D97" s="98"/>
      <c r="G97" s="12"/>
    </row>
    <row r="98" ht="15.75" customHeight="1">
      <c r="D98" s="98"/>
      <c r="G98" s="12"/>
    </row>
    <row r="99" ht="15.75" customHeight="1">
      <c r="D99" s="98"/>
      <c r="G99" s="12"/>
    </row>
    <row r="100" ht="15.75" customHeight="1">
      <c r="D100" s="98"/>
      <c r="G100" s="12"/>
    </row>
    <row r="101" ht="15.75" customHeight="1">
      <c r="D101" s="98"/>
      <c r="G101" s="12"/>
    </row>
    <row r="102" ht="15.75" customHeight="1">
      <c r="D102" s="98"/>
      <c r="G102" s="12"/>
    </row>
    <row r="103" ht="15.75" customHeight="1">
      <c r="D103" s="98"/>
      <c r="G103" s="12"/>
    </row>
    <row r="104" ht="15.75" customHeight="1">
      <c r="D104" s="98"/>
      <c r="G104" s="12"/>
    </row>
    <row r="105" ht="15.75" customHeight="1">
      <c r="D105" s="98"/>
      <c r="G105" s="12"/>
    </row>
    <row r="106" ht="15.75" customHeight="1">
      <c r="D106" s="98"/>
      <c r="G106" s="12"/>
    </row>
    <row r="107" ht="15.75" customHeight="1">
      <c r="D107" s="98"/>
      <c r="G107" s="12"/>
    </row>
    <row r="108" ht="15.75" customHeight="1">
      <c r="D108" s="98"/>
      <c r="G108" s="12"/>
    </row>
    <row r="109" ht="15.75" customHeight="1">
      <c r="D109" s="98"/>
      <c r="G109" s="12"/>
    </row>
    <row r="110" ht="15.75" customHeight="1">
      <c r="D110" s="98"/>
      <c r="G110" s="12"/>
    </row>
    <row r="111" ht="15.75" customHeight="1">
      <c r="D111" s="98"/>
      <c r="G111" s="12"/>
    </row>
    <row r="112" ht="15.75" customHeight="1">
      <c r="D112" s="98"/>
      <c r="G112" s="12"/>
    </row>
    <row r="113" ht="15.75" customHeight="1">
      <c r="D113" s="98"/>
      <c r="G113" s="12"/>
    </row>
    <row r="114" ht="15.75" customHeight="1">
      <c r="D114" s="98"/>
      <c r="G114" s="12"/>
    </row>
    <row r="115" ht="15.75" customHeight="1">
      <c r="D115" s="98"/>
      <c r="G115" s="12"/>
    </row>
    <row r="116" ht="15.75" customHeight="1">
      <c r="D116" s="98"/>
      <c r="G116" s="12"/>
    </row>
    <row r="117" ht="15.75" customHeight="1">
      <c r="D117" s="98"/>
      <c r="G117" s="12"/>
    </row>
    <row r="118" ht="15.75" customHeight="1">
      <c r="D118" s="98"/>
      <c r="G118" s="12"/>
    </row>
    <row r="119" ht="15.75" customHeight="1">
      <c r="D119" s="98"/>
      <c r="G119" s="12"/>
    </row>
    <row r="120" ht="15.75" customHeight="1">
      <c r="D120" s="98"/>
      <c r="G120" s="12"/>
    </row>
    <row r="121" ht="15.75" customHeight="1">
      <c r="D121" s="98"/>
      <c r="G121" s="12"/>
    </row>
    <row r="122" ht="15.75" customHeight="1">
      <c r="D122" s="98"/>
      <c r="G122" s="12"/>
    </row>
    <row r="123" ht="15.75" customHeight="1">
      <c r="D123" s="98"/>
      <c r="G123" s="12"/>
    </row>
    <row r="124" ht="15.75" customHeight="1">
      <c r="D124" s="98"/>
      <c r="G124" s="12"/>
    </row>
    <row r="125" ht="15.75" customHeight="1">
      <c r="D125" s="98"/>
      <c r="G125" s="12"/>
    </row>
    <row r="126" ht="15.75" customHeight="1">
      <c r="D126" s="98"/>
      <c r="G126" s="12"/>
    </row>
    <row r="127" ht="15.75" customHeight="1">
      <c r="D127" s="98"/>
      <c r="G127" s="12"/>
    </row>
    <row r="128" ht="15.75" customHeight="1">
      <c r="D128" s="98"/>
      <c r="G128" s="12"/>
    </row>
    <row r="129" ht="15.75" customHeight="1">
      <c r="D129" s="98"/>
      <c r="G129" s="12"/>
    </row>
    <row r="130" ht="15.75" customHeight="1">
      <c r="D130" s="98"/>
      <c r="G130" s="12"/>
    </row>
    <row r="131" ht="15.75" customHeight="1">
      <c r="D131" s="98"/>
      <c r="G131" s="12"/>
    </row>
    <row r="132" ht="15.75" customHeight="1">
      <c r="D132" s="98"/>
      <c r="G132" s="12"/>
    </row>
    <row r="133" ht="15.75" customHeight="1">
      <c r="D133" s="98"/>
      <c r="G133" s="12"/>
    </row>
    <row r="134" ht="15.75" customHeight="1">
      <c r="D134" s="98"/>
      <c r="G134" s="12"/>
    </row>
    <row r="135" ht="15.75" customHeight="1">
      <c r="D135" s="98"/>
      <c r="G135" s="12"/>
    </row>
    <row r="136" ht="15.75" customHeight="1">
      <c r="D136" s="98"/>
      <c r="G136" s="12"/>
    </row>
    <row r="137" ht="15.75" customHeight="1">
      <c r="D137" s="98"/>
      <c r="G137" s="12"/>
    </row>
    <row r="138" ht="15.75" customHeight="1">
      <c r="D138" s="98"/>
      <c r="G138" s="12"/>
    </row>
    <row r="139" ht="15.75" customHeight="1">
      <c r="D139" s="98"/>
      <c r="G139" s="12"/>
    </row>
    <row r="140" ht="15.75" customHeight="1">
      <c r="D140" s="98"/>
      <c r="G140" s="12"/>
    </row>
    <row r="141" ht="15.75" customHeight="1">
      <c r="D141" s="98"/>
      <c r="G141" s="12"/>
    </row>
    <row r="142" ht="15.75" customHeight="1">
      <c r="D142" s="98"/>
      <c r="G142" s="12"/>
    </row>
    <row r="143" ht="15.75" customHeight="1">
      <c r="D143" s="98"/>
      <c r="G143" s="12"/>
    </row>
    <row r="144" ht="15.75" customHeight="1">
      <c r="D144" s="98"/>
      <c r="G144" s="12"/>
    </row>
    <row r="145" ht="15.75" customHeight="1">
      <c r="D145" s="98"/>
      <c r="G145" s="12"/>
    </row>
    <row r="146" ht="15.75" customHeight="1">
      <c r="D146" s="98"/>
      <c r="G146" s="12"/>
    </row>
    <row r="147" ht="15.75" customHeight="1">
      <c r="D147" s="98"/>
      <c r="G147" s="12"/>
    </row>
    <row r="148" ht="15.75" customHeight="1">
      <c r="D148" s="98"/>
      <c r="G148" s="12"/>
    </row>
    <row r="149" ht="15.75" customHeight="1">
      <c r="D149" s="98"/>
      <c r="G149" s="12"/>
    </row>
    <row r="150" ht="15.75" customHeight="1">
      <c r="D150" s="98"/>
      <c r="G150" s="12"/>
    </row>
    <row r="151" ht="15.75" customHeight="1">
      <c r="D151" s="98"/>
      <c r="G151" s="12"/>
    </row>
    <row r="152" ht="15.75" customHeight="1">
      <c r="D152" s="98"/>
      <c r="G152" s="12"/>
    </row>
    <row r="153" ht="15.75" customHeight="1">
      <c r="D153" s="98"/>
      <c r="G153" s="12"/>
    </row>
    <row r="154" ht="15.75" customHeight="1">
      <c r="D154" s="98"/>
      <c r="G154" s="12"/>
    </row>
    <row r="155" ht="15.75" customHeight="1">
      <c r="D155" s="98"/>
      <c r="G155" s="12"/>
    </row>
    <row r="156" ht="15.75" customHeight="1">
      <c r="D156" s="98"/>
      <c r="G156" s="12"/>
    </row>
    <row r="157" ht="15.75" customHeight="1">
      <c r="D157" s="98"/>
      <c r="G157" s="12"/>
    </row>
    <row r="158" ht="15.75" customHeight="1">
      <c r="D158" s="98"/>
      <c r="G158" s="12"/>
    </row>
    <row r="159" ht="15.75" customHeight="1">
      <c r="D159" s="98"/>
      <c r="G159" s="12"/>
    </row>
    <row r="160" ht="15.75" customHeight="1">
      <c r="D160" s="98"/>
      <c r="G160" s="12"/>
    </row>
    <row r="161" ht="15.75" customHeight="1">
      <c r="D161" s="98"/>
      <c r="G161" s="12"/>
    </row>
    <row r="162" ht="15.75" customHeight="1">
      <c r="D162" s="98"/>
      <c r="G162" s="12"/>
    </row>
    <row r="163" ht="15.75" customHeight="1">
      <c r="D163" s="98"/>
      <c r="G163" s="12"/>
    </row>
    <row r="164" ht="15.75" customHeight="1">
      <c r="D164" s="98"/>
      <c r="G164" s="12"/>
    </row>
    <row r="165" ht="15.75" customHeight="1">
      <c r="D165" s="98"/>
      <c r="G165" s="12"/>
    </row>
    <row r="166" ht="15.75" customHeight="1">
      <c r="D166" s="98"/>
      <c r="G166" s="12"/>
    </row>
    <row r="167" ht="15.75" customHeight="1">
      <c r="D167" s="98"/>
      <c r="G167" s="12"/>
    </row>
    <row r="168" ht="15.75" customHeight="1">
      <c r="D168" s="98"/>
      <c r="G168" s="12"/>
    </row>
    <row r="169" ht="15.75" customHeight="1">
      <c r="D169" s="98"/>
      <c r="G169" s="12"/>
    </row>
    <row r="170" ht="15.75" customHeight="1">
      <c r="D170" s="98"/>
      <c r="G170" s="12"/>
    </row>
    <row r="171" ht="15.75" customHeight="1">
      <c r="D171" s="98"/>
      <c r="G171" s="12"/>
    </row>
    <row r="172" ht="15.75" customHeight="1">
      <c r="D172" s="98"/>
      <c r="G172" s="12"/>
    </row>
    <row r="173" ht="15.75" customHeight="1">
      <c r="D173" s="98"/>
      <c r="G173" s="12"/>
    </row>
    <row r="174" ht="15.75" customHeight="1">
      <c r="D174" s="98"/>
      <c r="G174" s="12"/>
    </row>
    <row r="175" ht="15.75" customHeight="1">
      <c r="D175" s="98"/>
      <c r="G175" s="12"/>
    </row>
    <row r="176" ht="15.75" customHeight="1">
      <c r="D176" s="98"/>
      <c r="G176" s="12"/>
    </row>
    <row r="177" ht="15.75" customHeight="1">
      <c r="D177" s="98"/>
      <c r="G177" s="12"/>
    </row>
    <row r="178" ht="15.75" customHeight="1">
      <c r="D178" s="98"/>
      <c r="G178" s="12"/>
    </row>
    <row r="179" ht="15.75" customHeight="1">
      <c r="D179" s="98"/>
      <c r="G179" s="12"/>
    </row>
    <row r="180" ht="15.75" customHeight="1">
      <c r="D180" s="98"/>
      <c r="G180" s="12"/>
    </row>
    <row r="181" ht="15.75" customHeight="1">
      <c r="D181" s="98"/>
      <c r="G181" s="12"/>
    </row>
    <row r="182" ht="15.75" customHeight="1">
      <c r="D182" s="98"/>
      <c r="G182" s="12"/>
    </row>
    <row r="183" ht="15.75" customHeight="1">
      <c r="D183" s="98"/>
      <c r="G183" s="12"/>
    </row>
    <row r="184" ht="15.75" customHeight="1">
      <c r="D184" s="98"/>
      <c r="G184" s="12"/>
    </row>
    <row r="185" ht="15.75" customHeight="1">
      <c r="D185" s="98"/>
      <c r="G185" s="12"/>
    </row>
    <row r="186" ht="15.75" customHeight="1">
      <c r="D186" s="98"/>
      <c r="G186" s="12"/>
    </row>
    <row r="187" ht="15.75" customHeight="1">
      <c r="D187" s="98"/>
      <c r="G187" s="12"/>
    </row>
    <row r="188" ht="15.75" customHeight="1">
      <c r="D188" s="98"/>
      <c r="G188" s="12"/>
    </row>
    <row r="189" ht="15.75" customHeight="1">
      <c r="D189" s="98"/>
      <c r="G189" s="12"/>
    </row>
    <row r="190" ht="15.75" customHeight="1">
      <c r="D190" s="98"/>
      <c r="G190" s="12"/>
    </row>
    <row r="191" ht="15.75" customHeight="1">
      <c r="D191" s="98"/>
      <c r="G191" s="12"/>
    </row>
    <row r="192" ht="15.75" customHeight="1">
      <c r="D192" s="98"/>
      <c r="G192" s="12"/>
    </row>
    <row r="193" ht="15.75" customHeight="1">
      <c r="D193" s="98"/>
      <c r="G193" s="12"/>
    </row>
    <row r="194" ht="15.75" customHeight="1">
      <c r="D194" s="98"/>
      <c r="G194" s="12"/>
    </row>
    <row r="195" ht="15.75" customHeight="1">
      <c r="D195" s="98"/>
      <c r="G195" s="12"/>
    </row>
    <row r="196" ht="15.75" customHeight="1">
      <c r="D196" s="98"/>
      <c r="G196" s="12"/>
    </row>
    <row r="197" ht="15.75" customHeight="1">
      <c r="D197" s="98"/>
      <c r="G197" s="12"/>
    </row>
    <row r="198" ht="15.75" customHeight="1">
      <c r="D198" s="98"/>
      <c r="G198" s="12"/>
    </row>
    <row r="199" ht="15.75" customHeight="1">
      <c r="D199" s="98"/>
      <c r="G199" s="12"/>
    </row>
    <row r="200" ht="15.75" customHeight="1">
      <c r="D200" s="98"/>
      <c r="G200" s="12"/>
    </row>
    <row r="201" ht="15.75" customHeight="1">
      <c r="D201" s="98"/>
      <c r="G201" s="12"/>
    </row>
    <row r="202" ht="15.75" customHeight="1">
      <c r="D202" s="98"/>
      <c r="G202" s="12"/>
    </row>
    <row r="203" ht="15.75" customHeight="1">
      <c r="D203" s="98"/>
      <c r="G203" s="12"/>
    </row>
    <row r="204" ht="15.75" customHeight="1">
      <c r="D204" s="98"/>
      <c r="G204" s="12"/>
    </row>
    <row r="205" ht="15.75" customHeight="1">
      <c r="D205" s="98"/>
      <c r="G205" s="12"/>
    </row>
    <row r="206" ht="15.75" customHeight="1">
      <c r="D206" s="98"/>
      <c r="G206" s="12"/>
    </row>
    <row r="207" ht="15.75" customHeight="1">
      <c r="D207" s="98"/>
      <c r="G207" s="12"/>
    </row>
    <row r="208" ht="15.75" customHeight="1">
      <c r="D208" s="98"/>
      <c r="G208" s="12"/>
    </row>
    <row r="209" ht="15.75" customHeight="1">
      <c r="D209" s="98"/>
      <c r="G209" s="12"/>
    </row>
    <row r="210" ht="15.75" customHeight="1">
      <c r="D210" s="98"/>
      <c r="G210" s="12"/>
    </row>
    <row r="211" ht="15.75" customHeight="1">
      <c r="D211" s="98"/>
      <c r="G211" s="12"/>
    </row>
    <row r="212" ht="15.75" customHeight="1">
      <c r="D212" s="98"/>
      <c r="G212" s="12"/>
    </row>
    <row r="213" ht="15.75" customHeight="1">
      <c r="D213" s="98"/>
      <c r="G213" s="12"/>
    </row>
    <row r="214" ht="15.75" customHeight="1">
      <c r="D214" s="98"/>
      <c r="G214" s="12"/>
    </row>
    <row r="215" ht="15.75" customHeight="1">
      <c r="D215" s="98"/>
      <c r="G215" s="12"/>
    </row>
    <row r="216" ht="15.75" customHeight="1">
      <c r="D216" s="98"/>
      <c r="G216" s="12"/>
    </row>
    <row r="217" ht="15.75" customHeight="1">
      <c r="D217" s="98"/>
      <c r="G217" s="12"/>
    </row>
    <row r="218" ht="15.75" customHeight="1">
      <c r="D218" s="98"/>
      <c r="G218" s="12"/>
    </row>
    <row r="219" ht="15.75" customHeight="1">
      <c r="D219" s="98"/>
      <c r="G219" s="12"/>
    </row>
    <row r="220" ht="15.75" customHeight="1">
      <c r="D220" s="98"/>
      <c r="G220" s="12"/>
    </row>
    <row r="221" ht="15.75" customHeight="1">
      <c r="D221" s="98"/>
      <c r="G221" s="12"/>
    </row>
    <row r="222" ht="15.75" customHeight="1">
      <c r="D222" s="98"/>
      <c r="G222" s="12"/>
    </row>
    <row r="223" ht="15.75" customHeight="1">
      <c r="D223" s="98"/>
      <c r="G223" s="12"/>
    </row>
    <row r="224" ht="15.75" customHeight="1">
      <c r="D224" s="98"/>
      <c r="G224" s="12"/>
    </row>
    <row r="225" ht="15.75" customHeight="1">
      <c r="D225" s="98"/>
      <c r="G225" s="12"/>
    </row>
    <row r="226" ht="15.75" customHeight="1">
      <c r="D226" s="98"/>
      <c r="G226" s="12"/>
    </row>
    <row r="227" ht="15.75" customHeight="1">
      <c r="D227" s="98"/>
      <c r="G227" s="12"/>
    </row>
    <row r="228" ht="15.75" customHeight="1">
      <c r="D228" s="98"/>
      <c r="G228" s="12"/>
    </row>
    <row r="229" ht="15.75" customHeight="1">
      <c r="D229" s="98"/>
      <c r="G229" s="12"/>
    </row>
    <row r="230" ht="15.75" customHeight="1">
      <c r="D230" s="98"/>
      <c r="G230" s="12"/>
    </row>
    <row r="231" ht="15.75" customHeight="1">
      <c r="D231" s="98"/>
      <c r="G231" s="12"/>
    </row>
    <row r="232" ht="15.75" customHeight="1">
      <c r="D232" s="98"/>
      <c r="G232" s="12"/>
    </row>
    <row r="233" ht="15.75" customHeight="1">
      <c r="D233" s="98"/>
      <c r="G233" s="12"/>
    </row>
    <row r="234" ht="15.75" customHeight="1">
      <c r="D234" s="98"/>
      <c r="G234" s="12"/>
    </row>
    <row r="235" ht="15.75" customHeight="1">
      <c r="D235" s="98"/>
      <c r="G235" s="12"/>
    </row>
    <row r="236" ht="15.75" customHeight="1">
      <c r="D236" s="98"/>
      <c r="G236" s="12"/>
    </row>
    <row r="237" ht="15.75" customHeight="1">
      <c r="D237" s="98"/>
      <c r="G237" s="12"/>
    </row>
    <row r="238" ht="15.75" customHeight="1">
      <c r="D238" s="98"/>
      <c r="G238" s="12"/>
    </row>
    <row r="239" ht="15.75" customHeight="1">
      <c r="D239" s="98"/>
      <c r="G239" s="12"/>
    </row>
    <row r="240" ht="15.75" customHeight="1">
      <c r="D240" s="98"/>
      <c r="G240" s="12"/>
    </row>
    <row r="241" ht="15.75" customHeight="1">
      <c r="D241" s="98"/>
      <c r="G241" s="12"/>
    </row>
    <row r="242" ht="15.75" customHeight="1">
      <c r="D242" s="98"/>
      <c r="G242" s="12"/>
    </row>
    <row r="243" ht="15.75" customHeight="1">
      <c r="D243" s="98"/>
      <c r="G243" s="12"/>
    </row>
    <row r="244" ht="15.75" customHeight="1">
      <c r="D244" s="98"/>
      <c r="G244" s="12"/>
    </row>
    <row r="245" ht="15.75" customHeight="1">
      <c r="D245" s="98"/>
      <c r="G245" s="12"/>
    </row>
    <row r="246" ht="15.75" customHeight="1">
      <c r="D246" s="98"/>
      <c r="G246" s="12"/>
    </row>
    <row r="247" ht="15.75" customHeight="1">
      <c r="D247" s="98"/>
      <c r="G247" s="12"/>
    </row>
    <row r="248" ht="15.75" customHeight="1">
      <c r="D248" s="98"/>
      <c r="G248" s="12"/>
    </row>
    <row r="249" ht="15.75" customHeight="1">
      <c r="D249" s="98"/>
      <c r="G249" s="12"/>
    </row>
    <row r="250" ht="15.75" customHeight="1">
      <c r="D250" s="98"/>
      <c r="G250" s="12"/>
    </row>
    <row r="251" ht="15.75" customHeight="1">
      <c r="D251" s="98"/>
      <c r="G251" s="12"/>
    </row>
    <row r="252" ht="15.75" customHeight="1">
      <c r="D252" s="98"/>
      <c r="G252" s="12"/>
    </row>
    <row r="253" ht="15.75" customHeight="1">
      <c r="D253" s="98"/>
      <c r="G253" s="12"/>
    </row>
    <row r="254" ht="15.75" customHeight="1">
      <c r="D254" s="98"/>
      <c r="G254" s="12"/>
    </row>
    <row r="255" ht="15.75" customHeight="1">
      <c r="D255" s="98"/>
      <c r="G255" s="12"/>
    </row>
    <row r="256" ht="15.75" customHeight="1">
      <c r="D256" s="98"/>
      <c r="G256" s="12"/>
    </row>
    <row r="257" ht="15.75" customHeight="1">
      <c r="D257" s="98"/>
      <c r="G257" s="12"/>
    </row>
    <row r="258" ht="15.75" customHeight="1">
      <c r="D258" s="98"/>
      <c r="G258" s="12"/>
    </row>
    <row r="259" ht="15.75" customHeight="1">
      <c r="D259" s="98"/>
      <c r="G259" s="12"/>
    </row>
    <row r="260" ht="15.75" customHeight="1">
      <c r="D260" s="98"/>
      <c r="G260" s="12"/>
    </row>
    <row r="261" ht="15.75" customHeight="1">
      <c r="D261" s="98"/>
      <c r="G261" s="12"/>
    </row>
    <row r="262" ht="15.75" customHeight="1">
      <c r="D262" s="98"/>
      <c r="G262" s="12"/>
    </row>
    <row r="263" ht="15.75" customHeight="1">
      <c r="D263" s="98"/>
      <c r="G263" s="12"/>
    </row>
    <row r="264" ht="15.75" customHeight="1">
      <c r="D264" s="98"/>
      <c r="G264" s="12"/>
    </row>
    <row r="265" ht="15.75" customHeight="1">
      <c r="D265" s="98"/>
      <c r="G265" s="12"/>
    </row>
    <row r="266" ht="15.75" customHeight="1">
      <c r="D266" s="98"/>
      <c r="G266" s="12"/>
    </row>
    <row r="267" ht="15.75" customHeight="1">
      <c r="D267" s="98"/>
      <c r="G267" s="12"/>
    </row>
    <row r="268" ht="15.75" customHeight="1">
      <c r="D268" s="98"/>
      <c r="G268" s="12"/>
    </row>
    <row r="269" ht="15.75" customHeight="1">
      <c r="D269" s="98"/>
      <c r="G269" s="12"/>
    </row>
    <row r="270" ht="15.75" customHeight="1">
      <c r="D270" s="98"/>
      <c r="G270" s="12"/>
    </row>
    <row r="271" ht="15.75" customHeight="1">
      <c r="D271" s="98"/>
      <c r="G271" s="12"/>
    </row>
    <row r="272" ht="15.75" customHeight="1">
      <c r="D272" s="98"/>
      <c r="G272" s="12"/>
    </row>
    <row r="273" ht="15.75" customHeight="1">
      <c r="D273" s="98"/>
      <c r="G273" s="12"/>
    </row>
    <row r="274" ht="15.75" customHeight="1">
      <c r="D274" s="98"/>
      <c r="G274" s="12"/>
    </row>
    <row r="275" ht="15.75" customHeight="1">
      <c r="D275" s="98"/>
      <c r="G275" s="12"/>
    </row>
    <row r="276" ht="15.75" customHeight="1">
      <c r="D276" s="98"/>
      <c r="G276" s="12"/>
    </row>
    <row r="277" ht="15.75" customHeight="1">
      <c r="D277" s="98"/>
      <c r="G277" s="12"/>
    </row>
    <row r="278" ht="15.75" customHeight="1">
      <c r="D278" s="98"/>
      <c r="G278" s="12"/>
    </row>
    <row r="279" ht="15.75" customHeight="1">
      <c r="D279" s="98"/>
      <c r="G279" s="12"/>
    </row>
    <row r="280" ht="15.75" customHeight="1">
      <c r="D280" s="98"/>
      <c r="G280" s="12"/>
    </row>
    <row r="281" ht="15.75" customHeight="1">
      <c r="D281" s="98"/>
      <c r="G281" s="12"/>
    </row>
    <row r="282" ht="15.75" customHeight="1">
      <c r="D282" s="98"/>
      <c r="G282" s="12"/>
    </row>
    <row r="283" ht="15.75" customHeight="1">
      <c r="D283" s="98"/>
      <c r="G283" s="12"/>
    </row>
    <row r="284" ht="15.75" customHeight="1">
      <c r="D284" s="98"/>
      <c r="G284" s="12"/>
    </row>
    <row r="285" ht="15.75" customHeight="1">
      <c r="D285" s="98"/>
      <c r="G285" s="12"/>
    </row>
    <row r="286" ht="15.75" customHeight="1">
      <c r="D286" s="98"/>
      <c r="G286" s="12"/>
    </row>
    <row r="287" ht="15.75" customHeight="1">
      <c r="D287" s="98"/>
      <c r="G287" s="12"/>
    </row>
    <row r="288" ht="15.75" customHeight="1">
      <c r="D288" s="98"/>
      <c r="G288" s="12"/>
    </row>
    <row r="289" ht="15.75" customHeight="1">
      <c r="D289" s="98"/>
      <c r="G289" s="12"/>
    </row>
    <row r="290" ht="15.75" customHeight="1">
      <c r="D290" s="98"/>
      <c r="G290" s="12"/>
    </row>
    <row r="291" ht="15.75" customHeight="1">
      <c r="D291" s="98"/>
      <c r="G291" s="12"/>
    </row>
    <row r="292" ht="15.75" customHeight="1">
      <c r="D292" s="98"/>
      <c r="G292" s="12"/>
    </row>
    <row r="293" ht="15.75" customHeight="1">
      <c r="D293" s="98"/>
      <c r="G293" s="12"/>
    </row>
    <row r="294" ht="15.75" customHeight="1">
      <c r="D294" s="98"/>
      <c r="G294" s="12"/>
    </row>
    <row r="295" ht="15.75" customHeight="1">
      <c r="D295" s="98"/>
      <c r="G295" s="12"/>
    </row>
    <row r="296" ht="15.75" customHeight="1">
      <c r="D296" s="98"/>
      <c r="G296" s="12"/>
    </row>
    <row r="297" ht="15.75" customHeight="1">
      <c r="D297" s="98"/>
      <c r="G297" s="12"/>
    </row>
    <row r="298" ht="15.75" customHeight="1">
      <c r="D298" s="98"/>
      <c r="G298" s="12"/>
    </row>
    <row r="299" ht="15.75" customHeight="1">
      <c r="D299" s="98"/>
      <c r="G299" s="12"/>
    </row>
    <row r="300" ht="15.75" customHeight="1">
      <c r="D300" s="98"/>
      <c r="G300" s="12"/>
    </row>
    <row r="301" ht="15.75" customHeight="1">
      <c r="D301" s="98"/>
      <c r="G301" s="12"/>
    </row>
    <row r="302" ht="15.75" customHeight="1">
      <c r="D302" s="98"/>
      <c r="G302" s="12"/>
    </row>
    <row r="303" ht="15.75" customHeight="1">
      <c r="D303" s="98"/>
      <c r="G303" s="12"/>
    </row>
    <row r="304" ht="15.75" customHeight="1">
      <c r="D304" s="98"/>
      <c r="G304" s="12"/>
    </row>
    <row r="305" ht="15.75" customHeight="1">
      <c r="D305" s="98"/>
      <c r="G305" s="12"/>
    </row>
    <row r="306" ht="15.75" customHeight="1">
      <c r="D306" s="98"/>
      <c r="G306" s="12"/>
    </row>
    <row r="307" ht="15.75" customHeight="1">
      <c r="D307" s="98"/>
      <c r="G307" s="12"/>
    </row>
    <row r="308" ht="15.75" customHeight="1">
      <c r="D308" s="98"/>
      <c r="G308" s="12"/>
    </row>
    <row r="309" ht="15.75" customHeight="1">
      <c r="D309" s="98"/>
      <c r="G309" s="12"/>
    </row>
    <row r="310" ht="15.75" customHeight="1">
      <c r="D310" s="98"/>
      <c r="G310" s="12"/>
    </row>
    <row r="311" ht="15.75" customHeight="1">
      <c r="D311" s="98"/>
      <c r="G311" s="12"/>
    </row>
    <row r="312" ht="15.75" customHeight="1">
      <c r="D312" s="98"/>
      <c r="G312" s="12"/>
    </row>
    <row r="313" ht="15.75" customHeight="1">
      <c r="D313" s="98"/>
      <c r="G313" s="12"/>
    </row>
    <row r="314" ht="15.75" customHeight="1">
      <c r="D314" s="98"/>
      <c r="G314" s="12"/>
    </row>
    <row r="315" ht="15.75" customHeight="1">
      <c r="D315" s="98"/>
      <c r="G315" s="12"/>
    </row>
    <row r="316" ht="15.75" customHeight="1">
      <c r="D316" s="98"/>
      <c r="G316" s="12"/>
    </row>
    <row r="317" ht="15.75" customHeight="1">
      <c r="D317" s="98"/>
      <c r="G317" s="12"/>
    </row>
    <row r="318" ht="15.75" customHeight="1">
      <c r="D318" s="98"/>
      <c r="G318" s="12"/>
    </row>
    <row r="319" ht="15.75" customHeight="1">
      <c r="D319" s="98"/>
      <c r="G319" s="12"/>
    </row>
    <row r="320" ht="15.75" customHeight="1">
      <c r="D320" s="98"/>
      <c r="G320" s="12"/>
    </row>
    <row r="321" ht="15.75" customHeight="1">
      <c r="D321" s="98"/>
      <c r="G321" s="12"/>
    </row>
    <row r="322" ht="15.75" customHeight="1">
      <c r="D322" s="98"/>
      <c r="G322" s="12"/>
    </row>
    <row r="323" ht="15.75" customHeight="1">
      <c r="D323" s="98"/>
      <c r="G323" s="12"/>
    </row>
    <row r="324" ht="15.75" customHeight="1">
      <c r="D324" s="98"/>
      <c r="G324" s="12"/>
    </row>
    <row r="325" ht="15.75" customHeight="1">
      <c r="D325" s="98"/>
      <c r="G325" s="12"/>
    </row>
    <row r="326" ht="15.75" customHeight="1">
      <c r="D326" s="98"/>
      <c r="G326" s="12"/>
    </row>
    <row r="327" ht="15.75" customHeight="1">
      <c r="D327" s="98"/>
      <c r="G327" s="12"/>
    </row>
    <row r="328" ht="15.75" customHeight="1">
      <c r="D328" s="98"/>
      <c r="G328" s="12"/>
    </row>
    <row r="329" ht="15.75" customHeight="1">
      <c r="D329" s="98"/>
      <c r="G329" s="12"/>
    </row>
    <row r="330" ht="15.75" customHeight="1">
      <c r="D330" s="98"/>
      <c r="G330" s="12"/>
    </row>
    <row r="331" ht="15.75" customHeight="1">
      <c r="D331" s="98"/>
      <c r="G331" s="12"/>
    </row>
    <row r="332" ht="15.75" customHeight="1">
      <c r="D332" s="98"/>
      <c r="G332" s="12"/>
    </row>
    <row r="333" ht="15.75" customHeight="1">
      <c r="D333" s="98"/>
      <c r="G333" s="12"/>
    </row>
    <row r="334" ht="15.75" customHeight="1">
      <c r="D334" s="98"/>
      <c r="G334" s="12"/>
    </row>
    <row r="335" ht="15.75" customHeight="1">
      <c r="D335" s="98"/>
      <c r="G335" s="12"/>
    </row>
    <row r="336" ht="15.75" customHeight="1">
      <c r="D336" s="98"/>
      <c r="G336" s="12"/>
    </row>
    <row r="337" ht="15.75" customHeight="1">
      <c r="D337" s="98"/>
      <c r="G337" s="12"/>
    </row>
    <row r="338" ht="15.75" customHeight="1">
      <c r="D338" s="98"/>
      <c r="G338" s="12"/>
    </row>
    <row r="339" ht="15.75" customHeight="1">
      <c r="D339" s="98"/>
      <c r="G339" s="12"/>
    </row>
    <row r="340" ht="15.75" customHeight="1">
      <c r="D340" s="98"/>
      <c r="G340" s="12"/>
    </row>
    <row r="341" ht="15.75" customHeight="1">
      <c r="D341" s="98"/>
      <c r="G341" s="12"/>
    </row>
    <row r="342" ht="15.75" customHeight="1">
      <c r="D342" s="98"/>
      <c r="G342" s="12"/>
    </row>
    <row r="343" ht="15.75" customHeight="1">
      <c r="D343" s="98"/>
      <c r="G343" s="12"/>
    </row>
    <row r="344" ht="15.75" customHeight="1">
      <c r="D344" s="98"/>
      <c r="G344" s="12"/>
    </row>
    <row r="345" ht="15.75" customHeight="1">
      <c r="D345" s="98"/>
      <c r="G345" s="12"/>
    </row>
    <row r="346" ht="15.75" customHeight="1">
      <c r="D346" s="98"/>
      <c r="G346" s="12"/>
    </row>
    <row r="347" ht="15.75" customHeight="1">
      <c r="D347" s="98"/>
      <c r="G347" s="12"/>
    </row>
    <row r="348" ht="15.75" customHeight="1">
      <c r="D348" s="98"/>
      <c r="G348" s="12"/>
    </row>
    <row r="349" ht="15.75" customHeight="1">
      <c r="D349" s="98"/>
      <c r="G349" s="12"/>
    </row>
    <row r="350" ht="15.75" customHeight="1">
      <c r="D350" s="98"/>
      <c r="G350" s="12"/>
    </row>
    <row r="351" ht="15.75" customHeight="1">
      <c r="D351" s="98"/>
      <c r="G351" s="12"/>
    </row>
    <row r="352" ht="15.75" customHeight="1">
      <c r="D352" s="98"/>
      <c r="G352" s="12"/>
    </row>
    <row r="353" ht="15.75" customHeight="1">
      <c r="D353" s="98"/>
      <c r="G353" s="12"/>
    </row>
    <row r="354" ht="15.75" customHeight="1">
      <c r="D354" s="98"/>
      <c r="G354" s="12"/>
    </row>
    <row r="355" ht="15.75" customHeight="1">
      <c r="D355" s="98"/>
      <c r="G355" s="12"/>
    </row>
    <row r="356" ht="15.75" customHeight="1">
      <c r="D356" s="98"/>
      <c r="G356" s="12"/>
    </row>
    <row r="357" ht="15.75" customHeight="1">
      <c r="D357" s="98"/>
      <c r="G357" s="12"/>
    </row>
    <row r="358" ht="15.75" customHeight="1">
      <c r="D358" s="98"/>
      <c r="G358" s="12"/>
    </row>
    <row r="359" ht="15.75" customHeight="1">
      <c r="D359" s="98"/>
      <c r="G359" s="12"/>
    </row>
    <row r="360" ht="15.75" customHeight="1">
      <c r="D360" s="98"/>
      <c r="G360" s="12"/>
    </row>
    <row r="361" ht="15.75" customHeight="1">
      <c r="D361" s="98"/>
      <c r="G361" s="12"/>
    </row>
    <row r="362" ht="15.75" customHeight="1">
      <c r="D362" s="98"/>
      <c r="G362" s="12"/>
    </row>
    <row r="363" ht="15.75" customHeight="1">
      <c r="D363" s="98"/>
      <c r="G363" s="12"/>
    </row>
    <row r="364" ht="15.75" customHeight="1">
      <c r="D364" s="98"/>
      <c r="G364" s="12"/>
    </row>
    <row r="365" ht="15.75" customHeight="1">
      <c r="D365" s="98"/>
      <c r="G365" s="12"/>
    </row>
    <row r="366" ht="15.75" customHeight="1">
      <c r="D366" s="98"/>
      <c r="G366" s="12"/>
    </row>
    <row r="367" ht="15.75" customHeight="1">
      <c r="D367" s="98"/>
      <c r="G367" s="12"/>
    </row>
    <row r="368" ht="15.75" customHeight="1">
      <c r="D368" s="98"/>
      <c r="G368" s="12"/>
    </row>
    <row r="369" ht="15.75" customHeight="1">
      <c r="D369" s="98"/>
      <c r="G369" s="12"/>
    </row>
    <row r="370" ht="15.75" customHeight="1">
      <c r="D370" s="98"/>
      <c r="G370" s="12"/>
    </row>
    <row r="371" ht="15.75" customHeight="1">
      <c r="D371" s="98"/>
      <c r="G371" s="12"/>
    </row>
    <row r="372" ht="15.75" customHeight="1">
      <c r="D372" s="98"/>
      <c r="G372" s="12"/>
    </row>
    <row r="373" ht="15.75" customHeight="1">
      <c r="D373" s="98"/>
      <c r="G373" s="12"/>
    </row>
    <row r="374" ht="15.75" customHeight="1">
      <c r="D374" s="98"/>
      <c r="G374" s="12"/>
    </row>
    <row r="375" ht="15.75" customHeight="1">
      <c r="D375" s="98"/>
      <c r="G375" s="12"/>
    </row>
    <row r="376" ht="15.75" customHeight="1">
      <c r="D376" s="98"/>
      <c r="G376" s="12"/>
    </row>
    <row r="377" ht="15.75" customHeight="1">
      <c r="D377" s="98"/>
      <c r="G377" s="12"/>
    </row>
    <row r="378" ht="15.75" customHeight="1">
      <c r="D378" s="98"/>
      <c r="G378" s="12"/>
    </row>
    <row r="379" ht="15.75" customHeight="1">
      <c r="D379" s="98"/>
      <c r="G379" s="12"/>
    </row>
    <row r="380" ht="15.75" customHeight="1">
      <c r="D380" s="98"/>
      <c r="G380" s="12"/>
    </row>
    <row r="381" ht="15.75" customHeight="1">
      <c r="D381" s="98"/>
      <c r="G381" s="12"/>
    </row>
    <row r="382" ht="15.75" customHeight="1">
      <c r="D382" s="98"/>
      <c r="G382" s="12"/>
    </row>
    <row r="383" ht="15.75" customHeight="1">
      <c r="D383" s="98"/>
      <c r="G383" s="12"/>
    </row>
    <row r="384" ht="15.75" customHeight="1">
      <c r="D384" s="98"/>
      <c r="G384" s="12"/>
    </row>
    <row r="385" ht="15.75" customHeight="1">
      <c r="D385" s="98"/>
      <c r="G385" s="12"/>
    </row>
    <row r="386" ht="15.75" customHeight="1">
      <c r="D386" s="98"/>
      <c r="G386" s="12"/>
    </row>
    <row r="387" ht="15.75" customHeight="1">
      <c r="D387" s="98"/>
      <c r="G387" s="12"/>
    </row>
    <row r="388" ht="15.75" customHeight="1">
      <c r="D388" s="98"/>
      <c r="G388" s="12"/>
    </row>
    <row r="389" ht="15.75" customHeight="1">
      <c r="D389" s="98"/>
      <c r="G389" s="12"/>
    </row>
    <row r="390" ht="15.75" customHeight="1">
      <c r="D390" s="98"/>
      <c r="G390" s="12"/>
    </row>
    <row r="391" ht="15.75" customHeight="1">
      <c r="D391" s="98"/>
      <c r="G391" s="12"/>
    </row>
    <row r="392" ht="15.75" customHeight="1">
      <c r="D392" s="98"/>
      <c r="G392" s="12"/>
    </row>
    <row r="393" ht="15.75" customHeight="1">
      <c r="D393" s="98"/>
      <c r="G393" s="12"/>
    </row>
    <row r="394" ht="15.75" customHeight="1">
      <c r="D394" s="98"/>
      <c r="G394" s="12"/>
    </row>
    <row r="395" ht="15.75" customHeight="1">
      <c r="D395" s="98"/>
      <c r="G395" s="12"/>
    </row>
    <row r="396" ht="15.75" customHeight="1">
      <c r="D396" s="98"/>
      <c r="G396" s="12"/>
    </row>
    <row r="397" ht="15.75" customHeight="1">
      <c r="D397" s="98"/>
      <c r="G397" s="12"/>
    </row>
    <row r="398" ht="15.75" customHeight="1">
      <c r="D398" s="98"/>
      <c r="G398" s="12"/>
    </row>
    <row r="399" ht="15.75" customHeight="1">
      <c r="D399" s="98"/>
      <c r="G399" s="12"/>
    </row>
    <row r="400" ht="15.75" customHeight="1">
      <c r="D400" s="98"/>
      <c r="G400" s="12"/>
    </row>
    <row r="401" ht="15.75" customHeight="1">
      <c r="D401" s="98"/>
      <c r="G401" s="12"/>
    </row>
    <row r="402" ht="15.75" customHeight="1">
      <c r="D402" s="98"/>
      <c r="G402" s="12"/>
    </row>
    <row r="403" ht="15.75" customHeight="1">
      <c r="D403" s="98"/>
      <c r="G403" s="12"/>
    </row>
    <row r="404" ht="15.75" customHeight="1">
      <c r="D404" s="98"/>
      <c r="G404" s="12"/>
    </row>
    <row r="405" ht="15.75" customHeight="1">
      <c r="D405" s="98"/>
      <c r="G405" s="12"/>
    </row>
    <row r="406" ht="15.75" customHeight="1">
      <c r="D406" s="98"/>
      <c r="G406" s="12"/>
    </row>
    <row r="407" ht="15.75" customHeight="1">
      <c r="D407" s="98"/>
      <c r="G407" s="12"/>
    </row>
    <row r="408" ht="15.75" customHeight="1">
      <c r="D408" s="98"/>
      <c r="G408" s="12"/>
    </row>
    <row r="409" ht="15.75" customHeight="1">
      <c r="D409" s="98"/>
      <c r="G409" s="12"/>
    </row>
    <row r="410" ht="15.75" customHeight="1">
      <c r="D410" s="98"/>
      <c r="G410" s="12"/>
    </row>
    <row r="411" ht="15.75" customHeight="1">
      <c r="D411" s="98"/>
      <c r="G411" s="12"/>
    </row>
    <row r="412" ht="15.75" customHeight="1">
      <c r="D412" s="98"/>
      <c r="G412" s="12"/>
    </row>
    <row r="413" ht="15.75" customHeight="1">
      <c r="D413" s="98"/>
      <c r="G413" s="12"/>
    </row>
    <row r="414" ht="15.75" customHeight="1">
      <c r="D414" s="98"/>
      <c r="G414" s="12"/>
    </row>
    <row r="415" ht="15.75" customHeight="1">
      <c r="D415" s="98"/>
      <c r="G415" s="12"/>
    </row>
    <row r="416" ht="15.75" customHeight="1">
      <c r="D416" s="98"/>
      <c r="G416" s="12"/>
    </row>
    <row r="417" ht="15.75" customHeight="1">
      <c r="D417" s="98"/>
      <c r="G417" s="12"/>
    </row>
    <row r="418" ht="15.75" customHeight="1">
      <c r="D418" s="98"/>
      <c r="G418" s="12"/>
    </row>
    <row r="419" ht="15.75" customHeight="1">
      <c r="D419" s="98"/>
      <c r="G419" s="12"/>
    </row>
    <row r="420" ht="15.75" customHeight="1">
      <c r="D420" s="98"/>
      <c r="G420" s="12"/>
    </row>
    <row r="421" ht="15.75" customHeight="1">
      <c r="D421" s="98"/>
      <c r="G421" s="12"/>
    </row>
    <row r="422" ht="15.75" customHeight="1">
      <c r="D422" s="98"/>
      <c r="G422" s="12"/>
    </row>
    <row r="423" ht="15.75" customHeight="1">
      <c r="D423" s="98"/>
      <c r="G423" s="12"/>
    </row>
    <row r="424" ht="15.75" customHeight="1">
      <c r="D424" s="98"/>
      <c r="G424" s="12"/>
    </row>
    <row r="425" ht="15.75" customHeight="1">
      <c r="D425" s="98"/>
      <c r="G425" s="12"/>
    </row>
    <row r="426" ht="15.75" customHeight="1">
      <c r="D426" s="98"/>
      <c r="G426" s="12"/>
    </row>
    <row r="427" ht="15.75" customHeight="1">
      <c r="D427" s="98"/>
      <c r="G427" s="12"/>
    </row>
    <row r="428" ht="15.75" customHeight="1">
      <c r="D428" s="98"/>
      <c r="G428" s="12"/>
    </row>
    <row r="429" ht="15.75" customHeight="1">
      <c r="D429" s="98"/>
      <c r="G429" s="12"/>
    </row>
    <row r="430" ht="15.75" customHeight="1">
      <c r="D430" s="98"/>
      <c r="G430" s="12"/>
    </row>
    <row r="431" ht="15.75" customHeight="1">
      <c r="D431" s="98"/>
      <c r="G431" s="12"/>
    </row>
    <row r="432" ht="15.75" customHeight="1">
      <c r="D432" s="98"/>
      <c r="G432" s="12"/>
    </row>
    <row r="433" ht="15.75" customHeight="1">
      <c r="D433" s="98"/>
      <c r="G433" s="12"/>
    </row>
    <row r="434" ht="15.75" customHeight="1">
      <c r="D434" s="98"/>
      <c r="G434" s="12"/>
    </row>
    <row r="435" ht="15.75" customHeight="1">
      <c r="D435" s="98"/>
      <c r="G435" s="12"/>
    </row>
    <row r="436" ht="15.75" customHeight="1">
      <c r="D436" s="98"/>
      <c r="G436" s="12"/>
    </row>
    <row r="437" ht="15.75" customHeight="1">
      <c r="D437" s="98"/>
      <c r="G437" s="12"/>
    </row>
    <row r="438" ht="15.75" customHeight="1">
      <c r="D438" s="98"/>
      <c r="G438" s="12"/>
    </row>
    <row r="439" ht="15.75" customHeight="1">
      <c r="D439" s="98"/>
      <c r="G439" s="12"/>
    </row>
    <row r="440" ht="15.75" customHeight="1">
      <c r="D440" s="98"/>
      <c r="G440" s="12"/>
    </row>
    <row r="441" ht="15.75" customHeight="1">
      <c r="D441" s="98"/>
      <c r="G441" s="12"/>
    </row>
    <row r="442" ht="15.75" customHeight="1">
      <c r="D442" s="98"/>
      <c r="G442" s="12"/>
    </row>
    <row r="443" ht="15.75" customHeight="1">
      <c r="D443" s="98"/>
      <c r="G443" s="12"/>
    </row>
    <row r="444" ht="15.75" customHeight="1">
      <c r="D444" s="98"/>
      <c r="G444" s="12"/>
    </row>
    <row r="445" ht="15.75" customHeight="1">
      <c r="D445" s="98"/>
      <c r="G445" s="12"/>
    </row>
    <row r="446" ht="15.75" customHeight="1">
      <c r="D446" s="98"/>
      <c r="G446" s="12"/>
    </row>
    <row r="447" ht="15.75" customHeight="1">
      <c r="D447" s="98"/>
      <c r="G447" s="12"/>
    </row>
    <row r="448" ht="15.75" customHeight="1">
      <c r="D448" s="98"/>
      <c r="G448" s="12"/>
    </row>
    <row r="449" ht="15.75" customHeight="1">
      <c r="D449" s="98"/>
      <c r="G449" s="12"/>
    </row>
    <row r="450" ht="15.75" customHeight="1">
      <c r="D450" s="98"/>
      <c r="G450" s="12"/>
    </row>
    <row r="451" ht="15.75" customHeight="1">
      <c r="D451" s="98"/>
      <c r="G451" s="12"/>
    </row>
    <row r="452" ht="15.75" customHeight="1">
      <c r="D452" s="98"/>
      <c r="G452" s="12"/>
    </row>
    <row r="453" ht="15.75" customHeight="1">
      <c r="D453" s="98"/>
      <c r="G453" s="12"/>
    </row>
    <row r="454" ht="15.75" customHeight="1">
      <c r="D454" s="98"/>
      <c r="G454" s="12"/>
    </row>
    <row r="455" ht="15.75" customHeight="1">
      <c r="D455" s="98"/>
      <c r="G455" s="12"/>
    </row>
    <row r="456" ht="15.75" customHeight="1">
      <c r="D456" s="98"/>
      <c r="G456" s="12"/>
    </row>
    <row r="457" ht="15.75" customHeight="1">
      <c r="D457" s="98"/>
      <c r="G457" s="12"/>
    </row>
    <row r="458" ht="15.75" customHeight="1">
      <c r="D458" s="98"/>
      <c r="G458" s="12"/>
    </row>
    <row r="459" ht="15.75" customHeight="1">
      <c r="D459" s="98"/>
      <c r="G459" s="12"/>
    </row>
    <row r="460" ht="15.75" customHeight="1">
      <c r="D460" s="98"/>
      <c r="G460" s="12"/>
    </row>
    <row r="461" ht="15.75" customHeight="1">
      <c r="D461" s="98"/>
      <c r="G461" s="12"/>
    </row>
    <row r="462" ht="15.75" customHeight="1">
      <c r="D462" s="98"/>
      <c r="G462" s="12"/>
    </row>
    <row r="463" ht="15.75" customHeight="1">
      <c r="D463" s="98"/>
      <c r="G463" s="12"/>
    </row>
    <row r="464" ht="15.75" customHeight="1">
      <c r="D464" s="98"/>
      <c r="G464" s="12"/>
    </row>
    <row r="465" ht="15.75" customHeight="1">
      <c r="D465" s="98"/>
      <c r="G465" s="12"/>
    </row>
    <row r="466" ht="15.75" customHeight="1">
      <c r="D466" s="98"/>
      <c r="G466" s="12"/>
    </row>
    <row r="467" ht="15.75" customHeight="1">
      <c r="D467" s="98"/>
      <c r="G467" s="12"/>
    </row>
    <row r="468" ht="15.75" customHeight="1">
      <c r="D468" s="98"/>
      <c r="G468" s="12"/>
    </row>
    <row r="469" ht="15.75" customHeight="1">
      <c r="D469" s="98"/>
      <c r="G469" s="12"/>
    </row>
    <row r="470" ht="15.75" customHeight="1">
      <c r="D470" s="98"/>
      <c r="G470" s="12"/>
    </row>
    <row r="471" ht="15.75" customHeight="1">
      <c r="D471" s="98"/>
      <c r="G471" s="12"/>
    </row>
    <row r="472" ht="15.75" customHeight="1">
      <c r="D472" s="98"/>
      <c r="G472" s="12"/>
    </row>
    <row r="473" ht="15.75" customHeight="1">
      <c r="D473" s="98"/>
      <c r="G473" s="12"/>
    </row>
    <row r="474" ht="15.75" customHeight="1">
      <c r="D474" s="98"/>
      <c r="G474" s="12"/>
    </row>
    <row r="475" ht="15.75" customHeight="1">
      <c r="D475" s="98"/>
      <c r="G475" s="12"/>
    </row>
    <row r="476" ht="15.75" customHeight="1">
      <c r="D476" s="98"/>
      <c r="G476" s="12"/>
    </row>
    <row r="477" ht="15.75" customHeight="1">
      <c r="D477" s="98"/>
      <c r="G477" s="12"/>
    </row>
    <row r="478" ht="15.75" customHeight="1">
      <c r="D478" s="98"/>
      <c r="G478" s="12"/>
    </row>
    <row r="479" ht="15.75" customHeight="1">
      <c r="D479" s="98"/>
      <c r="G479" s="12"/>
    </row>
    <row r="480" ht="15.75" customHeight="1">
      <c r="D480" s="98"/>
      <c r="G480" s="12"/>
    </row>
    <row r="481" ht="15.75" customHeight="1">
      <c r="D481" s="98"/>
      <c r="G481" s="12"/>
    </row>
    <row r="482" ht="15.75" customHeight="1">
      <c r="D482" s="98"/>
      <c r="G482" s="12"/>
    </row>
    <row r="483" ht="15.75" customHeight="1">
      <c r="D483" s="98"/>
      <c r="G483" s="12"/>
    </row>
    <row r="484" ht="15.75" customHeight="1">
      <c r="D484" s="98"/>
      <c r="G484" s="12"/>
    </row>
    <row r="485" ht="15.75" customHeight="1">
      <c r="D485" s="98"/>
      <c r="G485" s="12"/>
    </row>
    <row r="486" ht="15.75" customHeight="1">
      <c r="D486" s="98"/>
      <c r="G486" s="12"/>
    </row>
    <row r="487" ht="15.75" customHeight="1">
      <c r="D487" s="98"/>
      <c r="G487" s="12"/>
    </row>
    <row r="488" ht="15.75" customHeight="1">
      <c r="D488" s="98"/>
      <c r="G488" s="12"/>
    </row>
    <row r="489" ht="15.75" customHeight="1">
      <c r="D489" s="98"/>
      <c r="G489" s="12"/>
    </row>
    <row r="490" ht="15.75" customHeight="1">
      <c r="D490" s="98"/>
      <c r="G490" s="12"/>
    </row>
    <row r="491" ht="15.75" customHeight="1">
      <c r="D491" s="98"/>
      <c r="G491" s="12"/>
    </row>
    <row r="492" ht="15.75" customHeight="1">
      <c r="D492" s="98"/>
      <c r="G492" s="12"/>
    </row>
    <row r="493" ht="15.75" customHeight="1">
      <c r="D493" s="98"/>
      <c r="G493" s="12"/>
    </row>
    <row r="494" ht="15.75" customHeight="1">
      <c r="D494" s="98"/>
      <c r="G494" s="12"/>
    </row>
    <row r="495" ht="15.75" customHeight="1">
      <c r="D495" s="98"/>
      <c r="G495" s="12"/>
    </row>
    <row r="496" ht="15.75" customHeight="1">
      <c r="D496" s="98"/>
      <c r="G496" s="12"/>
    </row>
    <row r="497" ht="15.75" customHeight="1">
      <c r="D497" s="98"/>
      <c r="G497" s="12"/>
    </row>
    <row r="498" ht="15.75" customHeight="1">
      <c r="D498" s="98"/>
      <c r="G498" s="12"/>
    </row>
    <row r="499" ht="15.75" customHeight="1">
      <c r="D499" s="98"/>
      <c r="G499" s="12"/>
    </row>
    <row r="500" ht="15.75" customHeight="1">
      <c r="D500" s="98"/>
      <c r="G500" s="12"/>
    </row>
    <row r="501" ht="15.75" customHeight="1">
      <c r="D501" s="98"/>
      <c r="G501" s="12"/>
    </row>
    <row r="502" ht="15.75" customHeight="1">
      <c r="D502" s="98"/>
      <c r="G502" s="12"/>
    </row>
    <row r="503" ht="15.75" customHeight="1">
      <c r="D503" s="98"/>
      <c r="G503" s="12"/>
    </row>
    <row r="504" ht="15.75" customHeight="1">
      <c r="D504" s="98"/>
      <c r="G504" s="12"/>
    </row>
    <row r="505" ht="15.75" customHeight="1">
      <c r="D505" s="98"/>
      <c r="G505" s="12"/>
    </row>
    <row r="506" ht="15.75" customHeight="1">
      <c r="D506" s="98"/>
      <c r="G506" s="12"/>
    </row>
    <row r="507" ht="15.75" customHeight="1">
      <c r="D507" s="98"/>
      <c r="G507" s="12"/>
    </row>
    <row r="508" ht="15.75" customHeight="1">
      <c r="D508" s="98"/>
      <c r="G508" s="12"/>
    </row>
    <row r="509" ht="15.75" customHeight="1">
      <c r="D509" s="98"/>
      <c r="G509" s="12"/>
    </row>
    <row r="510" ht="15.75" customHeight="1">
      <c r="D510" s="98"/>
      <c r="G510" s="12"/>
    </row>
    <row r="511" ht="15.75" customHeight="1">
      <c r="D511" s="98"/>
      <c r="G511" s="12"/>
    </row>
    <row r="512" ht="15.75" customHeight="1">
      <c r="D512" s="98"/>
      <c r="G512" s="12"/>
    </row>
    <row r="513" ht="15.75" customHeight="1">
      <c r="D513" s="98"/>
      <c r="G513" s="12"/>
    </row>
    <row r="514" ht="15.75" customHeight="1">
      <c r="D514" s="98"/>
      <c r="G514" s="12"/>
    </row>
    <row r="515" ht="15.75" customHeight="1">
      <c r="D515" s="98"/>
      <c r="G515" s="12"/>
    </row>
    <row r="516" ht="15.75" customHeight="1">
      <c r="D516" s="98"/>
      <c r="G516" s="12"/>
    </row>
    <row r="517" ht="15.75" customHeight="1">
      <c r="D517" s="98"/>
      <c r="G517" s="12"/>
    </row>
    <row r="518" ht="15.75" customHeight="1">
      <c r="D518" s="98"/>
      <c r="G518" s="12"/>
    </row>
    <row r="519" ht="15.75" customHeight="1">
      <c r="D519" s="98"/>
      <c r="G519" s="12"/>
    </row>
    <row r="520" ht="15.75" customHeight="1">
      <c r="D520" s="98"/>
      <c r="G520" s="12"/>
    </row>
    <row r="521" ht="15.75" customHeight="1">
      <c r="D521" s="98"/>
      <c r="G521" s="12"/>
    </row>
    <row r="522" ht="15.75" customHeight="1">
      <c r="D522" s="98"/>
      <c r="G522" s="12"/>
    </row>
    <row r="523" ht="15.75" customHeight="1">
      <c r="D523" s="98"/>
      <c r="G523" s="12"/>
    </row>
    <row r="524" ht="15.75" customHeight="1">
      <c r="D524" s="98"/>
      <c r="G524" s="12"/>
    </row>
    <row r="525" ht="15.75" customHeight="1">
      <c r="D525" s="98"/>
      <c r="G525" s="12"/>
    </row>
    <row r="526" ht="15.75" customHeight="1">
      <c r="D526" s="98"/>
      <c r="G526" s="12"/>
    </row>
    <row r="527" ht="15.75" customHeight="1">
      <c r="D527" s="98"/>
      <c r="G527" s="12"/>
    </row>
    <row r="528" ht="15.75" customHeight="1">
      <c r="D528" s="98"/>
      <c r="G528" s="12"/>
    </row>
    <row r="529" ht="15.75" customHeight="1">
      <c r="D529" s="98"/>
      <c r="G529" s="12"/>
    </row>
    <row r="530" ht="15.75" customHeight="1">
      <c r="D530" s="98"/>
      <c r="G530" s="12"/>
    </row>
    <row r="531" ht="15.75" customHeight="1">
      <c r="D531" s="98"/>
      <c r="G531" s="12"/>
    </row>
    <row r="532" ht="15.75" customHeight="1">
      <c r="D532" s="98"/>
      <c r="G532" s="12"/>
    </row>
    <row r="533" ht="15.75" customHeight="1">
      <c r="D533" s="98"/>
      <c r="G533" s="12"/>
    </row>
    <row r="534" ht="15.75" customHeight="1">
      <c r="D534" s="98"/>
      <c r="G534" s="12"/>
    </row>
    <row r="535" ht="15.75" customHeight="1">
      <c r="D535" s="98"/>
      <c r="G535" s="12"/>
    </row>
    <row r="536" ht="15.75" customHeight="1">
      <c r="D536" s="98"/>
      <c r="G536" s="12"/>
    </row>
    <row r="537" ht="15.75" customHeight="1">
      <c r="D537" s="98"/>
      <c r="G537" s="12"/>
    </row>
    <row r="538" ht="15.75" customHeight="1">
      <c r="D538" s="98"/>
      <c r="G538" s="12"/>
    </row>
    <row r="539" ht="15.75" customHeight="1">
      <c r="D539" s="98"/>
      <c r="G539" s="12"/>
    </row>
    <row r="540" ht="15.75" customHeight="1">
      <c r="D540" s="98"/>
      <c r="G540" s="12"/>
    </row>
    <row r="541" ht="15.75" customHeight="1">
      <c r="D541" s="98"/>
      <c r="G541" s="12"/>
    </row>
    <row r="542" ht="15.75" customHeight="1">
      <c r="D542" s="98"/>
      <c r="G542" s="12"/>
    </row>
    <row r="543" ht="15.75" customHeight="1">
      <c r="D543" s="98"/>
      <c r="G543" s="12"/>
    </row>
    <row r="544" ht="15.75" customHeight="1">
      <c r="D544" s="98"/>
      <c r="G544" s="12"/>
    </row>
    <row r="545" ht="15.75" customHeight="1">
      <c r="D545" s="98"/>
      <c r="G545" s="12"/>
    </row>
    <row r="546" ht="15.75" customHeight="1">
      <c r="D546" s="98"/>
      <c r="G546" s="12"/>
    </row>
    <row r="547" ht="15.75" customHeight="1">
      <c r="D547" s="98"/>
      <c r="G547" s="12"/>
    </row>
    <row r="548" ht="15.75" customHeight="1">
      <c r="D548" s="98"/>
      <c r="G548" s="12"/>
    </row>
    <row r="549" ht="15.75" customHeight="1">
      <c r="D549" s="98"/>
      <c r="G549" s="12"/>
    </row>
    <row r="550" ht="15.75" customHeight="1">
      <c r="D550" s="98"/>
      <c r="G550" s="12"/>
    </row>
    <row r="551" ht="15.75" customHeight="1">
      <c r="D551" s="98"/>
      <c r="G551" s="12"/>
    </row>
    <row r="552" ht="15.75" customHeight="1">
      <c r="D552" s="98"/>
      <c r="G552" s="12"/>
    </row>
    <row r="553" ht="15.75" customHeight="1">
      <c r="D553" s="98"/>
      <c r="G553" s="12"/>
    </row>
    <row r="554" ht="15.75" customHeight="1">
      <c r="D554" s="98"/>
      <c r="G554" s="12"/>
    </row>
    <row r="555" ht="15.75" customHeight="1">
      <c r="D555" s="98"/>
      <c r="G555" s="12"/>
    </row>
    <row r="556" ht="15.75" customHeight="1">
      <c r="D556" s="98"/>
      <c r="G556" s="12"/>
    </row>
    <row r="557" ht="15.75" customHeight="1">
      <c r="D557" s="98"/>
      <c r="G557" s="12"/>
    </row>
    <row r="558" ht="15.75" customHeight="1">
      <c r="D558" s="98"/>
      <c r="G558" s="12"/>
    </row>
    <row r="559" ht="15.75" customHeight="1">
      <c r="D559" s="98"/>
      <c r="G559" s="12"/>
    </row>
    <row r="560" ht="15.75" customHeight="1">
      <c r="D560" s="98"/>
      <c r="G560" s="12"/>
    </row>
    <row r="561" ht="15.75" customHeight="1">
      <c r="D561" s="98"/>
      <c r="G561" s="12"/>
    </row>
    <row r="562" ht="15.75" customHeight="1">
      <c r="D562" s="98"/>
      <c r="G562" s="12"/>
    </row>
    <row r="563" ht="15.75" customHeight="1">
      <c r="D563" s="98"/>
      <c r="G563" s="12"/>
    </row>
    <row r="564" ht="15.75" customHeight="1">
      <c r="D564" s="98"/>
      <c r="G564" s="12"/>
    </row>
    <row r="565" ht="15.75" customHeight="1">
      <c r="D565" s="98"/>
      <c r="G565" s="12"/>
    </row>
    <row r="566" ht="15.75" customHeight="1">
      <c r="D566" s="98"/>
      <c r="G566" s="12"/>
    </row>
    <row r="567" ht="15.75" customHeight="1">
      <c r="D567" s="98"/>
      <c r="G567" s="12"/>
    </row>
    <row r="568" ht="15.75" customHeight="1">
      <c r="D568" s="98"/>
      <c r="G568" s="12"/>
    </row>
    <row r="569" ht="15.75" customHeight="1">
      <c r="D569" s="98"/>
      <c r="G569" s="12"/>
    </row>
    <row r="570" ht="15.75" customHeight="1">
      <c r="D570" s="98"/>
      <c r="G570" s="12"/>
    </row>
    <row r="571" ht="15.75" customHeight="1">
      <c r="D571" s="98"/>
      <c r="G571" s="12"/>
    </row>
    <row r="572" ht="15.75" customHeight="1">
      <c r="D572" s="98"/>
      <c r="G572" s="12"/>
    </row>
    <row r="573" ht="15.75" customHeight="1">
      <c r="D573" s="98"/>
      <c r="G573" s="12"/>
    </row>
    <row r="574" ht="15.75" customHeight="1">
      <c r="D574" s="98"/>
      <c r="G574" s="12"/>
    </row>
    <row r="575" ht="15.75" customHeight="1">
      <c r="D575" s="98"/>
      <c r="G575" s="12"/>
    </row>
    <row r="576" ht="15.75" customHeight="1">
      <c r="D576" s="98"/>
      <c r="G576" s="12"/>
    </row>
    <row r="577" ht="15.75" customHeight="1">
      <c r="D577" s="98"/>
      <c r="G577" s="12"/>
    </row>
    <row r="578" ht="15.75" customHeight="1">
      <c r="D578" s="98"/>
      <c r="G578" s="12"/>
    </row>
    <row r="579" ht="15.75" customHeight="1">
      <c r="D579" s="98"/>
      <c r="G579" s="12"/>
    </row>
    <row r="580" ht="15.75" customHeight="1">
      <c r="D580" s="98"/>
      <c r="G580" s="12"/>
    </row>
    <row r="581" ht="15.75" customHeight="1">
      <c r="D581" s="98"/>
      <c r="G581" s="12"/>
    </row>
    <row r="582" ht="15.75" customHeight="1">
      <c r="D582" s="98"/>
      <c r="G582" s="12"/>
    </row>
    <row r="583" ht="15.75" customHeight="1">
      <c r="D583" s="98"/>
      <c r="G583" s="12"/>
    </row>
    <row r="584" ht="15.75" customHeight="1">
      <c r="D584" s="98"/>
      <c r="G584" s="12"/>
    </row>
    <row r="585" ht="15.75" customHeight="1">
      <c r="D585" s="98"/>
      <c r="G585" s="12"/>
    </row>
    <row r="586" ht="15.75" customHeight="1">
      <c r="D586" s="98"/>
      <c r="G586" s="12"/>
    </row>
    <row r="587" ht="15.75" customHeight="1">
      <c r="D587" s="98"/>
      <c r="G587" s="12"/>
    </row>
    <row r="588" ht="15.75" customHeight="1">
      <c r="D588" s="98"/>
      <c r="G588" s="12"/>
    </row>
    <row r="589" ht="15.75" customHeight="1">
      <c r="D589" s="98"/>
      <c r="G589" s="12"/>
    </row>
    <row r="590" ht="15.75" customHeight="1">
      <c r="D590" s="98"/>
      <c r="G590" s="12"/>
    </row>
    <row r="591" ht="15.75" customHeight="1">
      <c r="D591" s="98"/>
      <c r="G591" s="12"/>
    </row>
    <row r="592" ht="15.75" customHeight="1">
      <c r="D592" s="98"/>
      <c r="G592" s="12"/>
    </row>
    <row r="593" ht="15.75" customHeight="1">
      <c r="D593" s="98"/>
      <c r="G593" s="12"/>
    </row>
    <row r="594" ht="15.75" customHeight="1">
      <c r="D594" s="98"/>
      <c r="G594" s="12"/>
    </row>
    <row r="595" ht="15.75" customHeight="1">
      <c r="D595" s="98"/>
      <c r="G595" s="12"/>
    </row>
    <row r="596" ht="15.75" customHeight="1">
      <c r="D596" s="98"/>
      <c r="G596" s="12"/>
    </row>
    <row r="597" ht="15.75" customHeight="1">
      <c r="D597" s="98"/>
      <c r="G597" s="12"/>
    </row>
    <row r="598" ht="15.75" customHeight="1">
      <c r="D598" s="98"/>
      <c r="G598" s="12"/>
    </row>
    <row r="599" ht="15.75" customHeight="1">
      <c r="D599" s="98"/>
      <c r="G599" s="12"/>
    </row>
    <row r="600" ht="15.75" customHeight="1">
      <c r="D600" s="98"/>
      <c r="G600" s="12"/>
    </row>
    <row r="601" ht="15.75" customHeight="1">
      <c r="D601" s="98"/>
      <c r="G601" s="12"/>
    </row>
    <row r="602" ht="15.75" customHeight="1">
      <c r="D602" s="98"/>
      <c r="G602" s="12"/>
    </row>
    <row r="603" ht="15.75" customHeight="1">
      <c r="D603" s="98"/>
      <c r="G603" s="12"/>
    </row>
    <row r="604" ht="15.75" customHeight="1">
      <c r="D604" s="98"/>
      <c r="G604" s="12"/>
    </row>
    <row r="605" ht="15.75" customHeight="1">
      <c r="D605" s="98"/>
      <c r="G605" s="12"/>
    </row>
    <row r="606" ht="15.75" customHeight="1">
      <c r="D606" s="98"/>
      <c r="G606" s="12"/>
    </row>
    <row r="607" ht="15.75" customHeight="1">
      <c r="D607" s="98"/>
      <c r="G607" s="12"/>
    </row>
    <row r="608" ht="15.75" customHeight="1">
      <c r="D608" s="98"/>
      <c r="G608" s="12"/>
    </row>
    <row r="609" ht="15.75" customHeight="1">
      <c r="D609" s="98"/>
      <c r="G609" s="12"/>
    </row>
    <row r="610" ht="15.75" customHeight="1">
      <c r="D610" s="98"/>
      <c r="G610" s="12"/>
    </row>
    <row r="611" ht="15.75" customHeight="1">
      <c r="D611" s="98"/>
      <c r="G611" s="12"/>
    </row>
    <row r="612" ht="15.75" customHeight="1">
      <c r="D612" s="98"/>
      <c r="G612" s="12"/>
    </row>
    <row r="613" ht="15.75" customHeight="1">
      <c r="D613" s="98"/>
      <c r="G613" s="12"/>
    </row>
    <row r="614" ht="15.75" customHeight="1">
      <c r="D614" s="98"/>
      <c r="G614" s="12"/>
    </row>
    <row r="615" ht="15.75" customHeight="1">
      <c r="D615" s="98"/>
      <c r="G615" s="12"/>
    </row>
    <row r="616" ht="15.75" customHeight="1">
      <c r="D616" s="98"/>
      <c r="G616" s="12"/>
    </row>
    <row r="617" ht="15.75" customHeight="1">
      <c r="D617" s="98"/>
      <c r="G617" s="12"/>
    </row>
    <row r="618" ht="15.75" customHeight="1">
      <c r="D618" s="98"/>
      <c r="G618" s="12"/>
    </row>
    <row r="619" ht="15.75" customHeight="1">
      <c r="D619" s="98"/>
      <c r="G619" s="12"/>
    </row>
    <row r="620" ht="15.75" customHeight="1">
      <c r="D620" s="98"/>
      <c r="G620" s="12"/>
    </row>
    <row r="621" ht="15.75" customHeight="1">
      <c r="D621" s="98"/>
      <c r="G621" s="12"/>
    </row>
    <row r="622" ht="15.75" customHeight="1">
      <c r="D622" s="98"/>
      <c r="G622" s="12"/>
    </row>
    <row r="623" ht="15.75" customHeight="1">
      <c r="D623" s="98"/>
      <c r="G623" s="12"/>
    </row>
    <row r="624" ht="15.75" customHeight="1">
      <c r="D624" s="98"/>
      <c r="G624" s="12"/>
    </row>
    <row r="625" ht="15.75" customHeight="1">
      <c r="D625" s="98"/>
      <c r="G625" s="12"/>
    </row>
    <row r="626" ht="15.75" customHeight="1">
      <c r="D626" s="98"/>
      <c r="G626" s="12"/>
    </row>
    <row r="627" ht="15.75" customHeight="1">
      <c r="D627" s="98"/>
      <c r="G627" s="12"/>
    </row>
    <row r="628" ht="15.75" customHeight="1">
      <c r="D628" s="98"/>
      <c r="G628" s="12"/>
    </row>
    <row r="629" ht="15.75" customHeight="1">
      <c r="D629" s="98"/>
      <c r="G629" s="12"/>
    </row>
    <row r="630" ht="15.75" customHeight="1">
      <c r="D630" s="98"/>
      <c r="G630" s="12"/>
    </row>
    <row r="631" ht="15.75" customHeight="1">
      <c r="D631" s="98"/>
      <c r="G631" s="12"/>
    </row>
    <row r="632" ht="15.75" customHeight="1">
      <c r="D632" s="98"/>
      <c r="G632" s="12"/>
    </row>
    <row r="633" ht="15.75" customHeight="1">
      <c r="D633" s="98"/>
      <c r="G633" s="12"/>
    </row>
    <row r="634" ht="15.75" customHeight="1">
      <c r="D634" s="98"/>
      <c r="G634" s="12"/>
    </row>
    <row r="635" ht="15.75" customHeight="1">
      <c r="D635" s="98"/>
      <c r="G635" s="12"/>
    </row>
    <row r="636" ht="15.75" customHeight="1">
      <c r="D636" s="98"/>
      <c r="G636" s="12"/>
    </row>
    <row r="637" ht="15.75" customHeight="1">
      <c r="D637" s="98"/>
      <c r="G637" s="12"/>
    </row>
    <row r="638" ht="15.75" customHeight="1">
      <c r="D638" s="98"/>
      <c r="G638" s="12"/>
    </row>
    <row r="639" ht="15.75" customHeight="1">
      <c r="D639" s="98"/>
      <c r="G639" s="12"/>
    </row>
    <row r="640" ht="15.75" customHeight="1">
      <c r="D640" s="98"/>
      <c r="G640" s="12"/>
    </row>
    <row r="641" ht="15.75" customHeight="1">
      <c r="D641" s="98"/>
      <c r="G641" s="12"/>
    </row>
    <row r="642" ht="15.75" customHeight="1">
      <c r="D642" s="98"/>
      <c r="G642" s="12"/>
    </row>
    <row r="643" ht="15.75" customHeight="1">
      <c r="D643" s="98"/>
      <c r="G643" s="12"/>
    </row>
    <row r="644" ht="15.75" customHeight="1">
      <c r="D644" s="98"/>
      <c r="G644" s="12"/>
    </row>
    <row r="645" ht="15.75" customHeight="1">
      <c r="D645" s="98"/>
      <c r="G645" s="12"/>
    </row>
    <row r="646" ht="15.75" customHeight="1">
      <c r="D646" s="98"/>
      <c r="G646" s="12"/>
    </row>
    <row r="647" ht="15.75" customHeight="1">
      <c r="D647" s="98"/>
      <c r="G647" s="12"/>
    </row>
    <row r="648" ht="15.75" customHeight="1">
      <c r="D648" s="98"/>
      <c r="G648" s="12"/>
    </row>
    <row r="649" ht="15.75" customHeight="1">
      <c r="D649" s="98"/>
      <c r="G649" s="12"/>
    </row>
    <row r="650" ht="15.75" customHeight="1">
      <c r="D650" s="98"/>
      <c r="G650" s="12"/>
    </row>
    <row r="651" ht="15.75" customHeight="1">
      <c r="D651" s="98"/>
      <c r="G651" s="12"/>
    </row>
    <row r="652" ht="15.75" customHeight="1">
      <c r="D652" s="98"/>
      <c r="G652" s="12"/>
    </row>
    <row r="653" ht="15.75" customHeight="1">
      <c r="D653" s="98"/>
      <c r="G653" s="12"/>
    </row>
    <row r="654" ht="15.75" customHeight="1">
      <c r="D654" s="98"/>
      <c r="G654" s="12"/>
    </row>
    <row r="655" ht="15.75" customHeight="1">
      <c r="D655" s="98"/>
      <c r="G655" s="12"/>
    </row>
    <row r="656" ht="15.75" customHeight="1">
      <c r="D656" s="98"/>
      <c r="G656" s="12"/>
    </row>
    <row r="657" ht="15.75" customHeight="1">
      <c r="D657" s="98"/>
      <c r="G657" s="12"/>
    </row>
    <row r="658" ht="15.75" customHeight="1">
      <c r="D658" s="98"/>
      <c r="G658" s="12"/>
    </row>
    <row r="659" ht="15.75" customHeight="1">
      <c r="D659" s="98"/>
      <c r="G659" s="12"/>
    </row>
    <row r="660" ht="15.75" customHeight="1">
      <c r="D660" s="98"/>
      <c r="G660" s="12"/>
    </row>
    <row r="661" ht="15.75" customHeight="1">
      <c r="D661" s="98"/>
      <c r="G661" s="12"/>
    </row>
    <row r="662" ht="15.75" customHeight="1">
      <c r="D662" s="98"/>
      <c r="G662" s="12"/>
    </row>
    <row r="663" ht="15.75" customHeight="1">
      <c r="D663" s="98"/>
      <c r="G663" s="12"/>
    </row>
    <row r="664" ht="15.75" customHeight="1">
      <c r="D664" s="98"/>
      <c r="G664" s="12"/>
    </row>
    <row r="665" ht="15.75" customHeight="1">
      <c r="D665" s="98"/>
      <c r="G665" s="12"/>
    </row>
    <row r="666" ht="15.75" customHeight="1">
      <c r="D666" s="98"/>
      <c r="G666" s="12"/>
    </row>
    <row r="667" ht="15.75" customHeight="1">
      <c r="D667" s="98"/>
      <c r="G667" s="12"/>
    </row>
    <row r="668" ht="15.75" customHeight="1">
      <c r="D668" s="98"/>
      <c r="G668" s="12"/>
    </row>
    <row r="669" ht="15.75" customHeight="1">
      <c r="D669" s="98"/>
      <c r="G669" s="12"/>
    </row>
    <row r="670" ht="15.75" customHeight="1">
      <c r="D670" s="98"/>
      <c r="G670" s="12"/>
    </row>
    <row r="671" ht="15.75" customHeight="1">
      <c r="D671" s="98"/>
      <c r="G671" s="12"/>
    </row>
    <row r="672" ht="15.75" customHeight="1">
      <c r="D672" s="98"/>
      <c r="G672" s="12"/>
    </row>
    <row r="673" ht="15.75" customHeight="1">
      <c r="D673" s="98"/>
      <c r="G673" s="12"/>
    </row>
    <row r="674" ht="15.75" customHeight="1">
      <c r="D674" s="98"/>
      <c r="G674" s="12"/>
    </row>
    <row r="675" ht="15.75" customHeight="1">
      <c r="D675" s="98"/>
      <c r="G675" s="12"/>
    </row>
    <row r="676" ht="15.75" customHeight="1">
      <c r="D676" s="98"/>
      <c r="G676" s="12"/>
    </row>
    <row r="677" ht="15.75" customHeight="1">
      <c r="D677" s="98"/>
      <c r="G677" s="12"/>
    </row>
    <row r="678" ht="15.75" customHeight="1">
      <c r="D678" s="98"/>
      <c r="G678" s="12"/>
    </row>
    <row r="679" ht="15.75" customHeight="1">
      <c r="D679" s="98"/>
      <c r="G679" s="12"/>
    </row>
    <row r="680" ht="15.75" customHeight="1">
      <c r="D680" s="98"/>
      <c r="G680" s="12"/>
    </row>
    <row r="681" ht="15.75" customHeight="1">
      <c r="D681" s="98"/>
      <c r="G681" s="12"/>
    </row>
    <row r="682" ht="15.75" customHeight="1">
      <c r="D682" s="98"/>
      <c r="G682" s="12"/>
    </row>
    <row r="683" ht="15.75" customHeight="1">
      <c r="D683" s="98"/>
      <c r="G683" s="12"/>
    </row>
    <row r="684" ht="15.75" customHeight="1">
      <c r="D684" s="98"/>
      <c r="G684" s="12"/>
    </row>
    <row r="685" ht="15.75" customHeight="1">
      <c r="D685" s="98"/>
      <c r="G685" s="12"/>
    </row>
    <row r="686" ht="15.75" customHeight="1">
      <c r="D686" s="98"/>
      <c r="G686" s="12"/>
    </row>
    <row r="687" ht="15.75" customHeight="1">
      <c r="D687" s="98"/>
      <c r="G687" s="12"/>
    </row>
    <row r="688" ht="15.75" customHeight="1">
      <c r="D688" s="98"/>
      <c r="G688" s="12"/>
    </row>
    <row r="689" ht="15.75" customHeight="1">
      <c r="D689" s="98"/>
      <c r="G689" s="12"/>
    </row>
    <row r="690" ht="15.75" customHeight="1">
      <c r="D690" s="98"/>
      <c r="G690" s="12"/>
    </row>
    <row r="691" ht="15.75" customHeight="1">
      <c r="D691" s="98"/>
      <c r="G691" s="12"/>
    </row>
    <row r="692" ht="15.75" customHeight="1">
      <c r="D692" s="98"/>
      <c r="G692" s="12"/>
    </row>
    <row r="693" ht="15.75" customHeight="1">
      <c r="D693" s="98"/>
      <c r="G693" s="12"/>
    </row>
    <row r="694" ht="15.75" customHeight="1">
      <c r="D694" s="98"/>
      <c r="G694" s="12"/>
    </row>
    <row r="695" ht="15.75" customHeight="1">
      <c r="D695" s="98"/>
      <c r="G695" s="12"/>
    </row>
    <row r="696" ht="15.75" customHeight="1">
      <c r="D696" s="98"/>
      <c r="G696" s="12"/>
    </row>
    <row r="697" ht="15.75" customHeight="1">
      <c r="D697" s="98"/>
      <c r="G697" s="12"/>
    </row>
    <row r="698" ht="15.75" customHeight="1">
      <c r="D698" s="98"/>
      <c r="G698" s="12"/>
    </row>
    <row r="699" ht="15.75" customHeight="1">
      <c r="D699" s="98"/>
      <c r="G699" s="12"/>
    </row>
    <row r="700" ht="15.75" customHeight="1">
      <c r="D700" s="98"/>
      <c r="G700" s="12"/>
    </row>
    <row r="701" ht="15.75" customHeight="1">
      <c r="D701" s="98"/>
      <c r="G701" s="12"/>
    </row>
    <row r="702" ht="15.75" customHeight="1">
      <c r="D702" s="98"/>
      <c r="G702" s="12"/>
    </row>
    <row r="703" ht="15.75" customHeight="1">
      <c r="D703" s="98"/>
      <c r="G703" s="12"/>
    </row>
    <row r="704" ht="15.75" customHeight="1">
      <c r="D704" s="98"/>
      <c r="G704" s="12"/>
    </row>
    <row r="705" ht="15.75" customHeight="1">
      <c r="D705" s="98"/>
      <c r="G705" s="12"/>
    </row>
    <row r="706" ht="15.75" customHeight="1">
      <c r="D706" s="98"/>
      <c r="G706" s="12"/>
    </row>
    <row r="707" ht="15.75" customHeight="1">
      <c r="D707" s="98"/>
      <c r="G707" s="12"/>
    </row>
    <row r="708" ht="15.75" customHeight="1">
      <c r="D708" s="98"/>
      <c r="G708" s="12"/>
    </row>
    <row r="709" ht="15.75" customHeight="1">
      <c r="D709" s="98"/>
      <c r="G709" s="12"/>
    </row>
    <row r="710" ht="15.75" customHeight="1">
      <c r="D710" s="98"/>
      <c r="G710" s="12"/>
    </row>
    <row r="711" ht="15.75" customHeight="1">
      <c r="D711" s="98"/>
      <c r="G711" s="12"/>
    </row>
    <row r="712" ht="15.75" customHeight="1">
      <c r="D712" s="98"/>
      <c r="G712" s="12"/>
    </row>
    <row r="713" ht="15.75" customHeight="1">
      <c r="D713" s="98"/>
      <c r="G713" s="12"/>
    </row>
    <row r="714" ht="15.75" customHeight="1">
      <c r="D714" s="98"/>
      <c r="G714" s="12"/>
    </row>
    <row r="715" ht="15.75" customHeight="1">
      <c r="D715" s="98"/>
      <c r="G715" s="12"/>
    </row>
    <row r="716" ht="15.75" customHeight="1">
      <c r="D716" s="98"/>
      <c r="G716" s="12"/>
    </row>
    <row r="717" ht="15.75" customHeight="1">
      <c r="D717" s="98"/>
      <c r="G717" s="12"/>
    </row>
    <row r="718" ht="15.75" customHeight="1">
      <c r="D718" s="98"/>
      <c r="G718" s="12"/>
    </row>
    <row r="719" ht="15.75" customHeight="1">
      <c r="D719" s="98"/>
      <c r="G719" s="12"/>
    </row>
    <row r="720" ht="15.75" customHeight="1">
      <c r="D720" s="98"/>
      <c r="G720" s="12"/>
    </row>
    <row r="721" ht="15.75" customHeight="1">
      <c r="D721" s="98"/>
      <c r="G721" s="12"/>
    </row>
    <row r="722" ht="15.75" customHeight="1">
      <c r="D722" s="98"/>
      <c r="G722" s="12"/>
    </row>
    <row r="723" ht="15.75" customHeight="1">
      <c r="D723" s="98"/>
      <c r="G723" s="12"/>
    </row>
    <row r="724" ht="15.75" customHeight="1">
      <c r="D724" s="98"/>
      <c r="G724" s="12"/>
    </row>
    <row r="725" ht="15.75" customHeight="1">
      <c r="D725" s="98"/>
      <c r="G725" s="12"/>
    </row>
    <row r="726" ht="15.75" customHeight="1">
      <c r="D726" s="98"/>
      <c r="G726" s="12"/>
    </row>
    <row r="727" ht="15.75" customHeight="1">
      <c r="D727" s="98"/>
      <c r="G727" s="12"/>
    </row>
    <row r="728" ht="15.75" customHeight="1">
      <c r="D728" s="98"/>
      <c r="G728" s="12"/>
    </row>
    <row r="729" ht="15.75" customHeight="1">
      <c r="D729" s="98"/>
      <c r="G729" s="12"/>
    </row>
    <row r="730" ht="15.75" customHeight="1">
      <c r="D730" s="98"/>
      <c r="G730" s="12"/>
    </row>
    <row r="731" ht="15.75" customHeight="1">
      <c r="D731" s="98"/>
      <c r="G731" s="12"/>
    </row>
    <row r="732" ht="15.75" customHeight="1">
      <c r="D732" s="98"/>
      <c r="G732" s="12"/>
    </row>
    <row r="733" ht="15.75" customHeight="1">
      <c r="D733" s="98"/>
      <c r="G733" s="12"/>
    </row>
    <row r="734" ht="15.75" customHeight="1">
      <c r="D734" s="98"/>
      <c r="G734" s="12"/>
    </row>
    <row r="735" ht="15.75" customHeight="1">
      <c r="D735" s="98"/>
      <c r="G735" s="12"/>
    </row>
    <row r="736" ht="15.75" customHeight="1">
      <c r="D736" s="98"/>
      <c r="G736" s="12"/>
    </row>
    <row r="737" ht="15.75" customHeight="1">
      <c r="D737" s="98"/>
      <c r="G737" s="12"/>
    </row>
    <row r="738" ht="15.75" customHeight="1">
      <c r="D738" s="98"/>
      <c r="G738" s="12"/>
    </row>
    <row r="739" ht="15.75" customHeight="1">
      <c r="D739" s="98"/>
      <c r="G739" s="12"/>
    </row>
    <row r="740" ht="15.75" customHeight="1">
      <c r="D740" s="98"/>
      <c r="G740" s="12"/>
    </row>
    <row r="741" ht="15.75" customHeight="1">
      <c r="D741" s="98"/>
      <c r="G741" s="12"/>
    </row>
    <row r="742" ht="15.75" customHeight="1">
      <c r="D742" s="98"/>
      <c r="G742" s="12"/>
    </row>
    <row r="743" ht="15.75" customHeight="1">
      <c r="D743" s="98"/>
      <c r="G743" s="12"/>
    </row>
    <row r="744" ht="15.75" customHeight="1">
      <c r="D744" s="98"/>
      <c r="G744" s="12"/>
    </row>
    <row r="745" ht="15.75" customHeight="1">
      <c r="D745" s="98"/>
      <c r="G745" s="12"/>
    </row>
    <row r="746" ht="15.75" customHeight="1">
      <c r="D746" s="98"/>
      <c r="G746" s="12"/>
    </row>
    <row r="747" ht="15.75" customHeight="1">
      <c r="D747" s="98"/>
      <c r="G747" s="12"/>
    </row>
    <row r="748" ht="15.75" customHeight="1">
      <c r="D748" s="98"/>
      <c r="G748" s="12"/>
    </row>
    <row r="749" ht="15.75" customHeight="1">
      <c r="D749" s="98"/>
      <c r="G749" s="12"/>
    </row>
    <row r="750" ht="15.75" customHeight="1">
      <c r="D750" s="98"/>
      <c r="G750" s="12"/>
    </row>
    <row r="751" ht="15.75" customHeight="1">
      <c r="D751" s="98"/>
      <c r="G751" s="12"/>
    </row>
    <row r="752" ht="15.75" customHeight="1">
      <c r="D752" s="98"/>
      <c r="G752" s="12"/>
    </row>
    <row r="753" ht="15.75" customHeight="1">
      <c r="D753" s="98"/>
      <c r="G753" s="12"/>
    </row>
    <row r="754" ht="15.75" customHeight="1">
      <c r="D754" s="98"/>
      <c r="G754" s="12"/>
    </row>
    <row r="755" ht="15.75" customHeight="1">
      <c r="D755" s="98"/>
      <c r="G755" s="12"/>
    </row>
    <row r="756" ht="15.75" customHeight="1">
      <c r="D756" s="98"/>
      <c r="G756" s="12"/>
    </row>
    <row r="757" ht="15.75" customHeight="1">
      <c r="D757" s="98"/>
      <c r="G757" s="12"/>
    </row>
    <row r="758" ht="15.75" customHeight="1">
      <c r="D758" s="98"/>
      <c r="G758" s="12"/>
    </row>
    <row r="759" ht="15.75" customHeight="1">
      <c r="D759" s="98"/>
      <c r="G759" s="12"/>
    </row>
    <row r="760" ht="15.75" customHeight="1">
      <c r="D760" s="98"/>
      <c r="G760" s="12"/>
    </row>
    <row r="761" ht="15.75" customHeight="1">
      <c r="D761" s="98"/>
      <c r="G761" s="12"/>
    </row>
    <row r="762" ht="15.75" customHeight="1">
      <c r="D762" s="98"/>
      <c r="G762" s="12"/>
    </row>
    <row r="763" ht="15.75" customHeight="1">
      <c r="D763" s="98"/>
      <c r="G763" s="12"/>
    </row>
    <row r="764" ht="15.75" customHeight="1">
      <c r="D764" s="98"/>
      <c r="G764" s="12"/>
    </row>
    <row r="765" ht="15.75" customHeight="1">
      <c r="D765" s="98"/>
      <c r="G765" s="12"/>
    </row>
    <row r="766" ht="15.75" customHeight="1">
      <c r="D766" s="98"/>
      <c r="G766" s="12"/>
    </row>
    <row r="767" ht="15.75" customHeight="1">
      <c r="D767" s="98"/>
      <c r="G767" s="12"/>
    </row>
    <row r="768" ht="15.75" customHeight="1">
      <c r="D768" s="98"/>
      <c r="G768" s="12"/>
    </row>
    <row r="769" ht="15.75" customHeight="1">
      <c r="D769" s="98"/>
      <c r="G769" s="12"/>
    </row>
    <row r="770" ht="15.75" customHeight="1">
      <c r="D770" s="98"/>
      <c r="G770" s="12"/>
    </row>
    <row r="771" ht="15.75" customHeight="1">
      <c r="D771" s="98"/>
      <c r="G771" s="12"/>
    </row>
    <row r="772" ht="15.75" customHeight="1">
      <c r="D772" s="98"/>
      <c r="G772" s="12"/>
    </row>
    <row r="773" ht="15.75" customHeight="1">
      <c r="D773" s="98"/>
      <c r="G773" s="12"/>
    </row>
    <row r="774" ht="15.75" customHeight="1">
      <c r="D774" s="98"/>
      <c r="G774" s="12"/>
    </row>
    <row r="775" ht="15.75" customHeight="1">
      <c r="D775" s="98"/>
      <c r="G775" s="12"/>
    </row>
    <row r="776" ht="15.75" customHeight="1">
      <c r="D776" s="98"/>
      <c r="G776" s="12"/>
    </row>
    <row r="777" ht="15.75" customHeight="1">
      <c r="D777" s="98"/>
      <c r="G777" s="12"/>
    </row>
    <row r="778" ht="15.75" customHeight="1">
      <c r="D778" s="98"/>
      <c r="G778" s="12"/>
    </row>
    <row r="779" ht="15.75" customHeight="1">
      <c r="D779" s="98"/>
      <c r="G779" s="12"/>
    </row>
    <row r="780" ht="15.75" customHeight="1">
      <c r="D780" s="98"/>
      <c r="G780" s="12"/>
    </row>
    <row r="781" ht="15.75" customHeight="1">
      <c r="D781" s="98"/>
      <c r="G781" s="12"/>
    </row>
    <row r="782" ht="15.75" customHeight="1">
      <c r="D782" s="98"/>
      <c r="G782" s="12"/>
    </row>
    <row r="783" ht="15.75" customHeight="1">
      <c r="D783" s="98"/>
      <c r="G783" s="12"/>
    </row>
    <row r="784" ht="15.75" customHeight="1">
      <c r="D784" s="98"/>
      <c r="G784" s="12"/>
    </row>
    <row r="785" ht="15.75" customHeight="1">
      <c r="D785" s="98"/>
      <c r="G785" s="12"/>
    </row>
    <row r="786" ht="15.75" customHeight="1">
      <c r="D786" s="98"/>
      <c r="G786" s="12"/>
    </row>
    <row r="787" ht="15.75" customHeight="1">
      <c r="D787" s="98"/>
      <c r="G787" s="12"/>
    </row>
    <row r="788" ht="15.75" customHeight="1">
      <c r="D788" s="98"/>
      <c r="G788" s="12"/>
    </row>
    <row r="789" ht="15.75" customHeight="1">
      <c r="D789" s="98"/>
      <c r="G789" s="12"/>
    </row>
    <row r="790" ht="15.75" customHeight="1">
      <c r="D790" s="98"/>
      <c r="G790" s="12"/>
    </row>
    <row r="791" ht="15.75" customHeight="1">
      <c r="D791" s="98"/>
      <c r="G791" s="12"/>
    </row>
    <row r="792" ht="15.75" customHeight="1">
      <c r="D792" s="98"/>
      <c r="G792" s="12"/>
    </row>
    <row r="793" ht="15.75" customHeight="1">
      <c r="D793" s="98"/>
      <c r="G793" s="12"/>
    </row>
    <row r="794" ht="15.75" customHeight="1">
      <c r="D794" s="98"/>
      <c r="G794" s="12"/>
    </row>
    <row r="795" ht="15.75" customHeight="1">
      <c r="D795" s="98"/>
      <c r="G795" s="12"/>
    </row>
    <row r="796" ht="15.75" customHeight="1">
      <c r="D796" s="98"/>
      <c r="G796" s="12"/>
    </row>
    <row r="797" ht="15.75" customHeight="1">
      <c r="D797" s="98"/>
      <c r="G797" s="12"/>
    </row>
    <row r="798" ht="15.75" customHeight="1">
      <c r="D798" s="98"/>
      <c r="G798" s="12"/>
    </row>
    <row r="799" ht="15.75" customHeight="1">
      <c r="D799" s="98"/>
      <c r="G799" s="12"/>
    </row>
    <row r="800" ht="15.75" customHeight="1">
      <c r="D800" s="98"/>
      <c r="G800" s="12"/>
    </row>
    <row r="801" ht="15.75" customHeight="1">
      <c r="D801" s="98"/>
      <c r="G801" s="12"/>
    </row>
    <row r="802" ht="15.75" customHeight="1">
      <c r="D802" s="98"/>
      <c r="G802" s="12"/>
    </row>
    <row r="803" ht="15.75" customHeight="1">
      <c r="D803" s="98"/>
      <c r="G803" s="12"/>
    </row>
    <row r="804" ht="15.75" customHeight="1">
      <c r="D804" s="98"/>
      <c r="G804" s="12"/>
    </row>
    <row r="805" ht="15.75" customHeight="1">
      <c r="D805" s="98"/>
      <c r="G805" s="12"/>
    </row>
    <row r="806" ht="15.75" customHeight="1">
      <c r="D806" s="98"/>
      <c r="G806" s="12"/>
    </row>
    <row r="807" ht="15.75" customHeight="1">
      <c r="D807" s="98"/>
      <c r="G807" s="12"/>
    </row>
    <row r="808" ht="15.75" customHeight="1">
      <c r="D808" s="98"/>
      <c r="G808" s="12"/>
    </row>
    <row r="809" ht="15.75" customHeight="1">
      <c r="D809" s="98"/>
      <c r="G809" s="12"/>
    </row>
    <row r="810" ht="15.75" customHeight="1">
      <c r="D810" s="98"/>
      <c r="G810" s="12"/>
    </row>
    <row r="811" ht="15.75" customHeight="1">
      <c r="D811" s="98"/>
      <c r="G811" s="12"/>
    </row>
    <row r="812" ht="15.75" customHeight="1">
      <c r="D812" s="98"/>
      <c r="G812" s="12"/>
    </row>
    <row r="813" ht="15.75" customHeight="1">
      <c r="D813" s="98"/>
      <c r="G813" s="12"/>
    </row>
    <row r="814" ht="15.75" customHeight="1">
      <c r="D814" s="98"/>
      <c r="G814" s="12"/>
    </row>
    <row r="815" ht="15.75" customHeight="1">
      <c r="D815" s="98"/>
      <c r="G815" s="12"/>
    </row>
    <row r="816" ht="15.75" customHeight="1">
      <c r="D816" s="98"/>
      <c r="G816" s="12"/>
    </row>
    <row r="817" ht="15.75" customHeight="1">
      <c r="D817" s="98"/>
      <c r="G817" s="12"/>
    </row>
    <row r="818" ht="15.75" customHeight="1">
      <c r="D818" s="98"/>
      <c r="G818" s="12"/>
    </row>
    <row r="819" ht="15.75" customHeight="1">
      <c r="D819" s="98"/>
      <c r="G819" s="12"/>
    </row>
    <row r="820" ht="15.75" customHeight="1">
      <c r="D820" s="98"/>
      <c r="G820" s="12"/>
    </row>
    <row r="821" ht="15.75" customHeight="1">
      <c r="D821" s="98"/>
      <c r="G821" s="12"/>
    </row>
    <row r="822" ht="15.75" customHeight="1">
      <c r="D822" s="98"/>
      <c r="G822" s="12"/>
    </row>
    <row r="823" ht="15.75" customHeight="1">
      <c r="D823" s="98"/>
      <c r="G823" s="12"/>
    </row>
    <row r="824" ht="15.75" customHeight="1">
      <c r="D824" s="98"/>
      <c r="G824" s="12"/>
    </row>
    <row r="825" ht="15.75" customHeight="1">
      <c r="D825" s="98"/>
      <c r="G825" s="12"/>
    </row>
    <row r="826" ht="15.75" customHeight="1">
      <c r="D826" s="98"/>
      <c r="G826" s="12"/>
    </row>
    <row r="827" ht="15.75" customHeight="1">
      <c r="D827" s="98"/>
      <c r="G827" s="12"/>
    </row>
    <row r="828" ht="15.75" customHeight="1">
      <c r="D828" s="98"/>
      <c r="G828" s="12"/>
    </row>
    <row r="829" ht="15.75" customHeight="1">
      <c r="D829" s="98"/>
      <c r="G829" s="12"/>
    </row>
    <row r="830" ht="15.75" customHeight="1">
      <c r="D830" s="98"/>
      <c r="G830" s="12"/>
    </row>
    <row r="831" ht="15.75" customHeight="1">
      <c r="D831" s="98"/>
      <c r="G831" s="12"/>
    </row>
    <row r="832" ht="15.75" customHeight="1">
      <c r="D832" s="98"/>
      <c r="G832" s="12"/>
    </row>
    <row r="833" ht="15.75" customHeight="1">
      <c r="D833" s="98"/>
      <c r="G833" s="12"/>
    </row>
    <row r="834" ht="15.75" customHeight="1">
      <c r="D834" s="98"/>
      <c r="G834" s="12"/>
    </row>
    <row r="835" ht="15.75" customHeight="1">
      <c r="D835" s="98"/>
      <c r="G835" s="12"/>
    </row>
    <row r="836" ht="15.75" customHeight="1">
      <c r="D836" s="98"/>
      <c r="G836" s="12"/>
    </row>
    <row r="837" ht="15.75" customHeight="1">
      <c r="D837" s="98"/>
      <c r="G837" s="12"/>
    </row>
    <row r="838" ht="15.75" customHeight="1">
      <c r="D838" s="98"/>
      <c r="G838" s="12"/>
    </row>
    <row r="839" ht="15.75" customHeight="1">
      <c r="D839" s="98"/>
      <c r="G839" s="12"/>
    </row>
    <row r="840" ht="15.75" customHeight="1">
      <c r="D840" s="98"/>
      <c r="G840" s="12"/>
    </row>
    <row r="841" ht="15.75" customHeight="1">
      <c r="D841" s="98"/>
      <c r="G841" s="12"/>
    </row>
    <row r="842" ht="15.75" customHeight="1">
      <c r="D842" s="98"/>
      <c r="G842" s="12"/>
    </row>
    <row r="843" ht="15.75" customHeight="1">
      <c r="D843" s="98"/>
      <c r="G843" s="12"/>
    </row>
    <row r="844" ht="15.75" customHeight="1">
      <c r="D844" s="98"/>
      <c r="G844" s="12"/>
    </row>
    <row r="845" ht="15.75" customHeight="1">
      <c r="D845" s="98"/>
      <c r="G845" s="12"/>
    </row>
    <row r="846" ht="15.75" customHeight="1">
      <c r="D846" s="98"/>
      <c r="G846" s="12"/>
    </row>
    <row r="847" ht="15.75" customHeight="1">
      <c r="D847" s="98"/>
      <c r="G847" s="12"/>
    </row>
    <row r="848" ht="15.75" customHeight="1">
      <c r="D848" s="98"/>
      <c r="G848" s="12"/>
    </row>
    <row r="849" ht="15.75" customHeight="1">
      <c r="D849" s="98"/>
      <c r="G849" s="12"/>
    </row>
    <row r="850" ht="15.75" customHeight="1">
      <c r="D850" s="98"/>
      <c r="G850" s="12"/>
    </row>
    <row r="851" ht="15.75" customHeight="1">
      <c r="D851" s="98"/>
      <c r="G851" s="12"/>
    </row>
    <row r="852" ht="15.75" customHeight="1">
      <c r="D852" s="98"/>
      <c r="G852" s="12"/>
    </row>
    <row r="853" ht="15.75" customHeight="1">
      <c r="D853" s="98"/>
      <c r="G853" s="12"/>
    </row>
    <row r="854" ht="15.75" customHeight="1">
      <c r="D854" s="98"/>
      <c r="G854" s="12"/>
    </row>
    <row r="855" ht="15.75" customHeight="1">
      <c r="D855" s="98"/>
      <c r="G855" s="12"/>
    </row>
    <row r="856" ht="15.75" customHeight="1">
      <c r="D856" s="98"/>
      <c r="G856" s="12"/>
    </row>
    <row r="857" ht="15.75" customHeight="1">
      <c r="D857" s="98"/>
      <c r="G857" s="12"/>
    </row>
    <row r="858" ht="15.75" customHeight="1">
      <c r="D858" s="98"/>
      <c r="G858" s="12"/>
    </row>
    <row r="859" ht="15.75" customHeight="1">
      <c r="D859" s="98"/>
      <c r="G859" s="12"/>
    </row>
    <row r="860" ht="15.75" customHeight="1">
      <c r="D860" s="98"/>
      <c r="G860" s="12"/>
    </row>
    <row r="861" ht="15.75" customHeight="1">
      <c r="D861" s="98"/>
      <c r="G861" s="12"/>
    </row>
    <row r="862" ht="15.75" customHeight="1">
      <c r="D862" s="98"/>
      <c r="G862" s="12"/>
    </row>
    <row r="863" ht="15.75" customHeight="1">
      <c r="D863" s="98"/>
      <c r="G863" s="12"/>
    </row>
    <row r="864" ht="15.75" customHeight="1">
      <c r="D864" s="98"/>
      <c r="G864" s="12"/>
    </row>
    <row r="865" ht="15.75" customHeight="1">
      <c r="D865" s="98"/>
      <c r="G865" s="12"/>
    </row>
    <row r="866" ht="15.75" customHeight="1">
      <c r="D866" s="98"/>
      <c r="G866" s="12"/>
    </row>
    <row r="867" ht="15.75" customHeight="1">
      <c r="D867" s="98"/>
      <c r="G867" s="12"/>
    </row>
    <row r="868" ht="15.75" customHeight="1">
      <c r="D868" s="98"/>
      <c r="G868" s="12"/>
    </row>
    <row r="869" ht="15.75" customHeight="1">
      <c r="D869" s="98"/>
      <c r="G869" s="12"/>
    </row>
    <row r="870" ht="15.75" customHeight="1">
      <c r="D870" s="98"/>
      <c r="G870" s="12"/>
    </row>
    <row r="871" ht="15.75" customHeight="1">
      <c r="D871" s="98"/>
      <c r="G871" s="12"/>
    </row>
    <row r="872" ht="15.75" customHeight="1">
      <c r="D872" s="98"/>
      <c r="G872" s="12"/>
    </row>
    <row r="873" ht="15.75" customHeight="1">
      <c r="D873" s="98"/>
      <c r="G873" s="12"/>
    </row>
    <row r="874" ht="15.75" customHeight="1">
      <c r="D874" s="98"/>
      <c r="G874" s="12"/>
    </row>
    <row r="875" ht="15.75" customHeight="1">
      <c r="D875" s="98"/>
      <c r="G875" s="12"/>
    </row>
    <row r="876" ht="15.75" customHeight="1">
      <c r="D876" s="98"/>
      <c r="G876" s="12"/>
    </row>
    <row r="877" ht="15.75" customHeight="1">
      <c r="D877" s="98"/>
      <c r="G877" s="12"/>
    </row>
    <row r="878" ht="15.75" customHeight="1">
      <c r="D878" s="98"/>
      <c r="G878" s="12"/>
    </row>
    <row r="879" ht="15.75" customHeight="1">
      <c r="D879" s="98"/>
      <c r="G879" s="12"/>
    </row>
    <row r="880" ht="15.75" customHeight="1">
      <c r="D880" s="98"/>
      <c r="G880" s="12"/>
    </row>
    <row r="881" ht="15.75" customHeight="1">
      <c r="D881" s="98"/>
      <c r="G881" s="12"/>
    </row>
    <row r="882" ht="15.75" customHeight="1">
      <c r="D882" s="98"/>
      <c r="G882" s="12"/>
    </row>
    <row r="883" ht="15.75" customHeight="1">
      <c r="D883" s="98"/>
      <c r="G883" s="12"/>
    </row>
    <row r="884" ht="15.75" customHeight="1">
      <c r="D884" s="98"/>
      <c r="G884" s="12"/>
    </row>
    <row r="885" ht="15.75" customHeight="1">
      <c r="D885" s="98"/>
      <c r="G885" s="12"/>
    </row>
    <row r="886" ht="15.75" customHeight="1">
      <c r="D886" s="98"/>
      <c r="G886" s="12"/>
    </row>
    <row r="887" ht="15.75" customHeight="1">
      <c r="D887" s="98"/>
      <c r="G887" s="12"/>
    </row>
    <row r="888" ht="15.75" customHeight="1">
      <c r="D888" s="98"/>
      <c r="G888" s="12"/>
    </row>
    <row r="889" ht="15.75" customHeight="1">
      <c r="D889" s="98"/>
      <c r="G889" s="12"/>
    </row>
    <row r="890" ht="15.75" customHeight="1">
      <c r="D890" s="98"/>
      <c r="G890" s="12"/>
    </row>
    <row r="891" ht="15.75" customHeight="1">
      <c r="D891" s="98"/>
      <c r="G891" s="12"/>
    </row>
    <row r="892" ht="15.75" customHeight="1">
      <c r="D892" s="98"/>
      <c r="G892" s="12"/>
    </row>
    <row r="893" ht="15.75" customHeight="1">
      <c r="D893" s="98"/>
      <c r="G893" s="12"/>
    </row>
    <row r="894" ht="15.75" customHeight="1">
      <c r="D894" s="98"/>
      <c r="G894" s="12"/>
    </row>
    <row r="895" ht="15.75" customHeight="1">
      <c r="D895" s="98"/>
      <c r="G895" s="12"/>
    </row>
    <row r="896" ht="15.75" customHeight="1">
      <c r="D896" s="98"/>
      <c r="G896" s="12"/>
    </row>
    <row r="897" ht="15.75" customHeight="1">
      <c r="D897" s="98"/>
      <c r="G897" s="12"/>
    </row>
    <row r="898" ht="15.75" customHeight="1">
      <c r="D898" s="98"/>
      <c r="G898" s="12"/>
    </row>
    <row r="899" ht="15.75" customHeight="1">
      <c r="D899" s="98"/>
      <c r="G899" s="12"/>
    </row>
    <row r="900" ht="15.75" customHeight="1">
      <c r="D900" s="98"/>
      <c r="G900" s="12"/>
    </row>
    <row r="901" ht="15.75" customHeight="1">
      <c r="D901" s="98"/>
      <c r="G901" s="12"/>
    </row>
    <row r="902" ht="15.75" customHeight="1">
      <c r="D902" s="98"/>
      <c r="G902" s="12"/>
    </row>
    <row r="903" ht="15.75" customHeight="1">
      <c r="D903" s="98"/>
      <c r="G903" s="12"/>
    </row>
    <row r="904" ht="15.75" customHeight="1">
      <c r="D904" s="98"/>
      <c r="G904" s="12"/>
    </row>
    <row r="905" ht="15.75" customHeight="1">
      <c r="D905" s="98"/>
      <c r="G905" s="12"/>
    </row>
    <row r="906" ht="15.75" customHeight="1">
      <c r="D906" s="98"/>
      <c r="G906" s="12"/>
    </row>
    <row r="907" ht="15.75" customHeight="1">
      <c r="D907" s="98"/>
      <c r="G907" s="12"/>
    </row>
    <row r="908" ht="15.75" customHeight="1">
      <c r="D908" s="98"/>
      <c r="G908" s="12"/>
    </row>
    <row r="909" ht="15.75" customHeight="1">
      <c r="D909" s="98"/>
      <c r="G909" s="12"/>
    </row>
    <row r="910" ht="15.75" customHeight="1">
      <c r="D910" s="98"/>
      <c r="G910" s="12"/>
    </row>
    <row r="911" ht="15.75" customHeight="1">
      <c r="D911" s="98"/>
      <c r="G911" s="12"/>
    </row>
    <row r="912" ht="15.75" customHeight="1">
      <c r="D912" s="98"/>
      <c r="G912" s="12"/>
    </row>
    <row r="913" ht="15.75" customHeight="1">
      <c r="D913" s="98"/>
      <c r="G913" s="12"/>
    </row>
    <row r="914" ht="15.75" customHeight="1">
      <c r="D914" s="98"/>
      <c r="G914" s="12"/>
    </row>
    <row r="915" ht="15.75" customHeight="1">
      <c r="D915" s="98"/>
      <c r="G915" s="12"/>
    </row>
    <row r="916" ht="15.75" customHeight="1">
      <c r="D916" s="98"/>
      <c r="G916" s="12"/>
    </row>
    <row r="917" ht="15.75" customHeight="1">
      <c r="D917" s="98"/>
      <c r="G917" s="12"/>
    </row>
    <row r="918" ht="15.75" customHeight="1">
      <c r="D918" s="98"/>
      <c r="G918" s="12"/>
    </row>
    <row r="919" ht="15.75" customHeight="1">
      <c r="D919" s="98"/>
      <c r="G919" s="12"/>
    </row>
    <row r="920" ht="15.75" customHeight="1">
      <c r="D920" s="98"/>
      <c r="G920" s="12"/>
    </row>
    <row r="921" ht="15.75" customHeight="1">
      <c r="D921" s="98"/>
      <c r="G921" s="12"/>
    </row>
    <row r="922" ht="15.75" customHeight="1">
      <c r="D922" s="98"/>
      <c r="G922" s="12"/>
    </row>
    <row r="923" ht="15.75" customHeight="1">
      <c r="D923" s="98"/>
      <c r="G923" s="12"/>
    </row>
    <row r="924" ht="15.75" customHeight="1">
      <c r="D924" s="98"/>
      <c r="G924" s="12"/>
    </row>
    <row r="925" ht="15.75" customHeight="1">
      <c r="D925" s="98"/>
      <c r="G925" s="12"/>
    </row>
    <row r="926" ht="15.75" customHeight="1">
      <c r="D926" s="98"/>
      <c r="G926" s="12"/>
    </row>
    <row r="927" ht="15.75" customHeight="1">
      <c r="D927" s="98"/>
      <c r="G927" s="12"/>
    </row>
    <row r="928" ht="15.75" customHeight="1">
      <c r="D928" s="98"/>
      <c r="G928" s="12"/>
    </row>
    <row r="929" ht="15.75" customHeight="1">
      <c r="D929" s="98"/>
      <c r="G929" s="12"/>
    </row>
    <row r="930" ht="15.75" customHeight="1">
      <c r="D930" s="98"/>
      <c r="G930" s="12"/>
    </row>
    <row r="931" ht="15.75" customHeight="1">
      <c r="D931" s="98"/>
      <c r="G931" s="12"/>
    </row>
    <row r="932" ht="15.75" customHeight="1">
      <c r="D932" s="98"/>
      <c r="G932" s="12"/>
    </row>
    <row r="933" ht="15.75" customHeight="1">
      <c r="D933" s="98"/>
      <c r="G933" s="12"/>
    </row>
    <row r="934" ht="15.75" customHeight="1">
      <c r="D934" s="98"/>
      <c r="G934" s="12"/>
    </row>
    <row r="935" ht="15.75" customHeight="1">
      <c r="D935" s="98"/>
      <c r="G935" s="12"/>
    </row>
    <row r="936" ht="15.75" customHeight="1">
      <c r="D936" s="98"/>
      <c r="G936" s="12"/>
    </row>
    <row r="937" ht="15.75" customHeight="1">
      <c r="D937" s="98"/>
      <c r="G937" s="12"/>
    </row>
    <row r="938" ht="15.75" customHeight="1">
      <c r="D938" s="98"/>
      <c r="G938" s="12"/>
    </row>
    <row r="939" ht="15.75" customHeight="1">
      <c r="D939" s="98"/>
      <c r="G939" s="12"/>
    </row>
    <row r="940" ht="15.75" customHeight="1">
      <c r="D940" s="98"/>
      <c r="G940" s="12"/>
    </row>
    <row r="941" ht="15.75" customHeight="1">
      <c r="D941" s="98"/>
      <c r="G941" s="12"/>
    </row>
    <row r="942" ht="15.75" customHeight="1">
      <c r="D942" s="98"/>
      <c r="G942" s="12"/>
    </row>
    <row r="943" ht="15.75" customHeight="1">
      <c r="D943" s="98"/>
      <c r="G943" s="12"/>
    </row>
    <row r="944" ht="15.75" customHeight="1">
      <c r="D944" s="98"/>
      <c r="G944" s="12"/>
    </row>
    <row r="945" ht="15.75" customHeight="1">
      <c r="D945" s="98"/>
      <c r="G945" s="12"/>
    </row>
    <row r="946" ht="15.75" customHeight="1">
      <c r="D946" s="98"/>
      <c r="G946" s="12"/>
    </row>
    <row r="947" ht="15.75" customHeight="1">
      <c r="D947" s="98"/>
      <c r="G947" s="12"/>
    </row>
    <row r="948" ht="15.75" customHeight="1">
      <c r="D948" s="98"/>
      <c r="G948" s="12"/>
    </row>
    <row r="949" ht="15.75" customHeight="1">
      <c r="D949" s="98"/>
      <c r="G949" s="12"/>
    </row>
    <row r="950" ht="15.75" customHeight="1">
      <c r="D950" s="98"/>
      <c r="G950" s="12"/>
    </row>
    <row r="951" ht="15.75" customHeight="1">
      <c r="D951" s="98"/>
      <c r="G951" s="12"/>
    </row>
    <row r="952" ht="15.75" customHeight="1">
      <c r="D952" s="98"/>
      <c r="G952" s="12"/>
    </row>
    <row r="953" ht="15.75" customHeight="1">
      <c r="D953" s="98"/>
      <c r="G953" s="12"/>
    </row>
    <row r="954" ht="15.75" customHeight="1">
      <c r="D954" s="98"/>
      <c r="G954" s="12"/>
    </row>
    <row r="955" ht="15.75" customHeight="1">
      <c r="D955" s="98"/>
      <c r="G955" s="12"/>
    </row>
    <row r="956" ht="15.75" customHeight="1">
      <c r="D956" s="98"/>
      <c r="G956" s="12"/>
    </row>
    <row r="957" ht="15.75" customHeight="1">
      <c r="D957" s="98"/>
      <c r="G957" s="12"/>
    </row>
    <row r="958" ht="15.75" customHeight="1">
      <c r="D958" s="98"/>
      <c r="G958" s="12"/>
    </row>
    <row r="959" ht="15.75" customHeight="1">
      <c r="D959" s="98"/>
      <c r="G959" s="12"/>
    </row>
    <row r="960" ht="15.75" customHeight="1">
      <c r="D960" s="98"/>
      <c r="G960" s="12"/>
    </row>
    <row r="961" ht="15.75" customHeight="1">
      <c r="D961" s="98"/>
      <c r="G961" s="12"/>
    </row>
    <row r="962" ht="15.75" customHeight="1">
      <c r="D962" s="98"/>
      <c r="G962" s="12"/>
    </row>
    <row r="963" ht="15.75" customHeight="1">
      <c r="D963" s="98"/>
      <c r="G963" s="12"/>
    </row>
    <row r="964" ht="15.75" customHeight="1">
      <c r="D964" s="98"/>
      <c r="G964" s="12"/>
    </row>
    <row r="965" ht="15.75" customHeight="1">
      <c r="D965" s="98"/>
      <c r="G965" s="12"/>
    </row>
    <row r="966" ht="15.75" customHeight="1">
      <c r="D966" s="98"/>
      <c r="G966" s="12"/>
    </row>
    <row r="967" ht="15.75" customHeight="1">
      <c r="D967" s="98"/>
      <c r="G967" s="12"/>
    </row>
    <row r="968" ht="15.75" customHeight="1">
      <c r="D968" s="98"/>
      <c r="G968" s="12"/>
    </row>
    <row r="969" ht="15.75" customHeight="1">
      <c r="D969" s="98"/>
      <c r="G969" s="12"/>
    </row>
    <row r="970" ht="15.75" customHeight="1">
      <c r="D970" s="98"/>
      <c r="G970" s="12"/>
    </row>
    <row r="971" ht="15.75" customHeight="1">
      <c r="D971" s="98"/>
      <c r="G971" s="12"/>
    </row>
    <row r="972" ht="15.75" customHeight="1">
      <c r="D972" s="98"/>
      <c r="G972" s="12"/>
    </row>
    <row r="973" ht="15.75" customHeight="1">
      <c r="D973" s="98"/>
      <c r="G973" s="12"/>
    </row>
    <row r="974" ht="15.75" customHeight="1">
      <c r="D974" s="98"/>
      <c r="G974" s="12"/>
    </row>
    <row r="975" ht="15.75" customHeight="1">
      <c r="D975" s="98"/>
      <c r="G975" s="12"/>
    </row>
    <row r="976" ht="15.75" customHeight="1">
      <c r="D976" s="98"/>
      <c r="G976" s="12"/>
    </row>
    <row r="977" ht="15.75" customHeight="1">
      <c r="D977" s="98"/>
      <c r="G977" s="12"/>
    </row>
    <row r="978" ht="15.75" customHeight="1">
      <c r="D978" s="98"/>
      <c r="G978" s="12"/>
    </row>
    <row r="979" ht="15.75" customHeight="1">
      <c r="D979" s="98"/>
      <c r="G979" s="12"/>
    </row>
    <row r="980" ht="15.75" customHeight="1">
      <c r="D980" s="98"/>
      <c r="G980" s="12"/>
    </row>
    <row r="981" ht="15.75" customHeight="1">
      <c r="D981" s="98"/>
      <c r="G981" s="12"/>
    </row>
    <row r="982" ht="15.75" customHeight="1">
      <c r="D982" s="98"/>
      <c r="G982" s="12"/>
    </row>
    <row r="983" ht="15.75" customHeight="1">
      <c r="D983" s="98"/>
      <c r="G983" s="12"/>
    </row>
    <row r="984" ht="15.75" customHeight="1">
      <c r="D984" s="98"/>
      <c r="G984" s="12"/>
    </row>
    <row r="985" ht="15.75" customHeight="1">
      <c r="D985" s="98"/>
      <c r="G985" s="12"/>
    </row>
    <row r="986" ht="15.75" customHeight="1">
      <c r="D986" s="98"/>
      <c r="G986" s="12"/>
    </row>
    <row r="987" ht="15.75" customHeight="1">
      <c r="D987" s="98"/>
      <c r="G987" s="12"/>
    </row>
    <row r="988" ht="15.75" customHeight="1">
      <c r="D988" s="98"/>
      <c r="G988" s="12"/>
    </row>
    <row r="989" ht="15.75" customHeight="1">
      <c r="D989" s="98"/>
      <c r="G989" s="12"/>
    </row>
    <row r="990" ht="15.75" customHeight="1">
      <c r="D990" s="98"/>
      <c r="G990" s="12"/>
    </row>
    <row r="991" ht="15.75" customHeight="1">
      <c r="D991" s="98"/>
      <c r="G991" s="12"/>
    </row>
    <row r="992" ht="15.75" customHeight="1">
      <c r="D992" s="98"/>
      <c r="G992" s="12"/>
    </row>
    <row r="993" ht="15.75" customHeight="1">
      <c r="D993" s="98"/>
      <c r="G993" s="12"/>
    </row>
    <row r="994" ht="15.75" customHeight="1">
      <c r="D994" s="98"/>
      <c r="G994" s="12"/>
    </row>
    <row r="995" ht="15.75" customHeight="1">
      <c r="D995" s="98"/>
      <c r="G995" s="12"/>
    </row>
    <row r="996" ht="15.75" customHeight="1">
      <c r="D996" s="98"/>
      <c r="G996" s="12"/>
    </row>
    <row r="997" ht="15.75" customHeight="1">
      <c r="D997" s="98"/>
      <c r="G997" s="12"/>
    </row>
    <row r="998" ht="15.75" customHeight="1">
      <c r="D998" s="98"/>
      <c r="G998" s="12"/>
    </row>
    <row r="999" ht="15.75" customHeight="1">
      <c r="D999" s="98"/>
      <c r="G999" s="12"/>
    </row>
    <row r="1000" ht="15.75" customHeight="1">
      <c r="D1000" s="98"/>
      <c r="G1000" s="12"/>
    </row>
  </sheetData>
  <mergeCells count="3">
    <mergeCell ref="A5:A10"/>
    <mergeCell ref="A11:A14"/>
    <mergeCell ref="A1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07" t="s">
        <v>171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3">
        <v>46241.0</v>
      </c>
      <c r="B4" s="31"/>
      <c r="C4" s="33"/>
      <c r="D4" s="38"/>
      <c r="E4" s="40">
        <v>10368.0</v>
      </c>
      <c r="F4" s="114">
        <v>48.0</v>
      </c>
    </row>
    <row r="5">
      <c r="A5" s="115">
        <v>46241.0</v>
      </c>
      <c r="B5" s="53" t="s">
        <v>32</v>
      </c>
      <c r="C5" s="50"/>
      <c r="D5" s="52">
        <v>2400.0</v>
      </c>
      <c r="E5" s="58">
        <f t="shared" ref="E5:E51" si="1">E4-D5+C5</f>
        <v>7968</v>
      </c>
      <c r="F5" s="59">
        <f>E5/F4</f>
        <v>166</v>
      </c>
    </row>
    <row r="6">
      <c r="A6" s="116">
        <v>46245.0</v>
      </c>
      <c r="B6" s="53" t="s">
        <v>19</v>
      </c>
      <c r="C6" s="58"/>
      <c r="D6" s="52">
        <v>720.0</v>
      </c>
      <c r="E6" s="58">
        <f t="shared" si="1"/>
        <v>7248</v>
      </c>
      <c r="F6" s="59">
        <f>E6/F4</f>
        <v>151</v>
      </c>
    </row>
    <row r="7">
      <c r="A7" s="65"/>
      <c r="B7" s="53" t="s">
        <v>24</v>
      </c>
      <c r="C7" s="58"/>
      <c r="D7" s="52">
        <v>144.0</v>
      </c>
      <c r="E7" s="58">
        <f t="shared" si="1"/>
        <v>7104</v>
      </c>
      <c r="F7" s="59">
        <f>E7/F4</f>
        <v>148</v>
      </c>
    </row>
    <row r="8">
      <c r="A8" s="65"/>
      <c r="B8" s="53" t="s">
        <v>180</v>
      </c>
      <c r="C8" s="58"/>
      <c r="D8" s="52">
        <v>48.0</v>
      </c>
      <c r="E8" s="58">
        <f t="shared" si="1"/>
        <v>7056</v>
      </c>
      <c r="F8" s="59">
        <f>E8/F4</f>
        <v>147</v>
      </c>
    </row>
    <row r="9">
      <c r="A9" s="65"/>
      <c r="B9" s="53" t="s">
        <v>26</v>
      </c>
      <c r="C9" s="58"/>
      <c r="D9" s="52">
        <v>240.0</v>
      </c>
      <c r="E9" s="58">
        <f t="shared" si="1"/>
        <v>6816</v>
      </c>
      <c r="F9" s="59">
        <f>E9/F4</f>
        <v>142</v>
      </c>
    </row>
    <row r="10">
      <c r="A10" s="65"/>
      <c r="B10" s="53" t="s">
        <v>27</v>
      </c>
      <c r="C10" s="58"/>
      <c r="D10" s="52">
        <v>48.0</v>
      </c>
      <c r="E10" s="58">
        <f t="shared" si="1"/>
        <v>6768</v>
      </c>
      <c r="F10" s="59">
        <f>E10/F4</f>
        <v>141</v>
      </c>
    </row>
    <row r="11">
      <c r="A11" s="67"/>
      <c r="B11" s="53" t="s">
        <v>28</v>
      </c>
      <c r="C11" s="58"/>
      <c r="D11" s="52">
        <v>96.0</v>
      </c>
      <c r="E11" s="58">
        <f t="shared" si="1"/>
        <v>6672</v>
      </c>
      <c r="F11" s="59">
        <f>E11/F4</f>
        <v>139</v>
      </c>
    </row>
    <row r="12">
      <c r="A12" s="116">
        <v>46246.0</v>
      </c>
      <c r="B12" s="53" t="s">
        <v>30</v>
      </c>
      <c r="C12" s="58"/>
      <c r="D12" s="52">
        <v>96.0</v>
      </c>
      <c r="E12" s="58">
        <f t="shared" si="1"/>
        <v>6576</v>
      </c>
      <c r="F12" s="59">
        <f>E12/F4</f>
        <v>137</v>
      </c>
    </row>
    <row r="13">
      <c r="A13" s="65"/>
      <c r="B13" s="53" t="s">
        <v>33</v>
      </c>
      <c r="C13" s="58"/>
      <c r="D13" s="52">
        <v>48.0</v>
      </c>
      <c r="E13" s="58">
        <f t="shared" si="1"/>
        <v>6528</v>
      </c>
      <c r="F13" s="59">
        <f>E13/F4</f>
        <v>136</v>
      </c>
    </row>
    <row r="14">
      <c r="A14" s="65"/>
      <c r="B14" s="53" t="s">
        <v>34</v>
      </c>
      <c r="C14" s="58"/>
      <c r="D14" s="52">
        <v>48.0</v>
      </c>
      <c r="E14" s="58">
        <f t="shared" si="1"/>
        <v>6480</v>
      </c>
      <c r="F14" s="59">
        <f>E14/F4</f>
        <v>135</v>
      </c>
    </row>
    <row r="15">
      <c r="A15" s="65"/>
      <c r="B15" s="118" t="s">
        <v>181</v>
      </c>
      <c r="C15" s="69"/>
      <c r="D15" s="52">
        <v>48.0</v>
      </c>
      <c r="E15" s="58">
        <f t="shared" si="1"/>
        <v>6432</v>
      </c>
      <c r="F15" s="59">
        <f>E15/F4</f>
        <v>134</v>
      </c>
    </row>
    <row r="16">
      <c r="A16" s="65"/>
      <c r="B16" s="62" t="s">
        <v>38</v>
      </c>
      <c r="C16" s="69"/>
      <c r="D16" s="52">
        <v>96.0</v>
      </c>
      <c r="E16" s="58">
        <f t="shared" si="1"/>
        <v>6336</v>
      </c>
      <c r="F16" s="59">
        <f>E16/F4</f>
        <v>132</v>
      </c>
    </row>
    <row r="17">
      <c r="A17" s="65"/>
      <c r="B17" s="62" t="s">
        <v>40</v>
      </c>
      <c r="C17" s="69"/>
      <c r="D17" s="52">
        <v>96.0</v>
      </c>
      <c r="E17" s="58">
        <f t="shared" si="1"/>
        <v>6240</v>
      </c>
      <c r="F17" s="59">
        <f>E17/F4</f>
        <v>130</v>
      </c>
    </row>
    <row r="18">
      <c r="A18" s="65"/>
      <c r="B18" s="118" t="s">
        <v>182</v>
      </c>
      <c r="C18" s="69"/>
      <c r="D18" s="52">
        <v>48.0</v>
      </c>
      <c r="E18" s="58">
        <f t="shared" si="1"/>
        <v>6192</v>
      </c>
      <c r="F18" s="59">
        <f>E18/F4</f>
        <v>129</v>
      </c>
    </row>
    <row r="19">
      <c r="A19" s="67"/>
      <c r="B19" s="118" t="s">
        <v>183</v>
      </c>
      <c r="C19" s="69"/>
      <c r="D19" s="52">
        <v>1440.0</v>
      </c>
      <c r="E19" s="58">
        <f t="shared" si="1"/>
        <v>4752</v>
      </c>
      <c r="F19" s="59">
        <f>E19/F4</f>
        <v>99</v>
      </c>
    </row>
    <row r="20">
      <c r="A20" s="115"/>
      <c r="B20" s="90"/>
      <c r="C20" s="69"/>
      <c r="D20" s="119"/>
      <c r="E20" s="58">
        <f t="shared" si="1"/>
        <v>4752</v>
      </c>
      <c r="F20" s="59">
        <f>E20/F4</f>
        <v>99</v>
      </c>
    </row>
    <row r="21" ht="15.75" customHeight="1">
      <c r="A21" s="115"/>
      <c r="B21" s="90"/>
      <c r="C21" s="69"/>
      <c r="D21" s="119"/>
      <c r="E21" s="58">
        <f t="shared" si="1"/>
        <v>4752</v>
      </c>
      <c r="F21" s="59">
        <f>E21/F4</f>
        <v>99</v>
      </c>
    </row>
    <row r="22" ht="15.75" customHeight="1">
      <c r="A22" s="115"/>
      <c r="B22" s="90"/>
      <c r="C22" s="69"/>
      <c r="D22" s="119"/>
      <c r="E22" s="58">
        <f t="shared" si="1"/>
        <v>4752</v>
      </c>
      <c r="F22" s="59">
        <f>E22/F4</f>
        <v>99</v>
      </c>
    </row>
    <row r="23" ht="15.75" customHeight="1">
      <c r="A23" s="115"/>
      <c r="B23" s="90"/>
      <c r="C23" s="69"/>
      <c r="D23" s="119"/>
      <c r="E23" s="58">
        <f t="shared" si="1"/>
        <v>4752</v>
      </c>
      <c r="F23" s="59">
        <f>E23/F4</f>
        <v>99</v>
      </c>
    </row>
    <row r="24" ht="15.75" customHeight="1">
      <c r="A24" s="115"/>
      <c r="B24" s="90"/>
      <c r="C24" s="69"/>
      <c r="D24" s="119"/>
      <c r="E24" s="58">
        <f t="shared" si="1"/>
        <v>4752</v>
      </c>
      <c r="F24" s="59">
        <f>E24/F4</f>
        <v>99</v>
      </c>
    </row>
    <row r="25" ht="15.75" customHeight="1">
      <c r="A25" s="115"/>
      <c r="B25" s="90"/>
      <c r="C25" s="69"/>
      <c r="D25" s="119"/>
      <c r="E25" s="58">
        <f t="shared" si="1"/>
        <v>4752</v>
      </c>
      <c r="F25" s="59">
        <f>E25/F4</f>
        <v>99</v>
      </c>
    </row>
    <row r="26" ht="15.75" customHeight="1">
      <c r="A26" s="115"/>
      <c r="B26" s="90"/>
      <c r="C26" s="69"/>
      <c r="D26" s="119"/>
      <c r="E26" s="58">
        <f t="shared" si="1"/>
        <v>4752</v>
      </c>
      <c r="F26" s="59">
        <f>E26/F4</f>
        <v>99</v>
      </c>
    </row>
    <row r="27" ht="15.75" customHeight="1">
      <c r="A27" s="115"/>
      <c r="B27" s="90"/>
      <c r="C27" s="69"/>
      <c r="D27" s="119"/>
      <c r="E27" s="58">
        <f t="shared" si="1"/>
        <v>4752</v>
      </c>
      <c r="F27" s="59">
        <f>E27/F4</f>
        <v>99</v>
      </c>
    </row>
    <row r="28" ht="15.75" customHeight="1">
      <c r="A28" s="115"/>
      <c r="B28" s="90"/>
      <c r="C28" s="69"/>
      <c r="D28" s="119"/>
      <c r="E28" s="58">
        <f t="shared" si="1"/>
        <v>4752</v>
      </c>
      <c r="F28" s="59">
        <f>E28/F4</f>
        <v>99</v>
      </c>
    </row>
    <row r="29" ht="15.75" customHeight="1">
      <c r="A29" s="115"/>
      <c r="B29" s="90"/>
      <c r="C29" s="69"/>
      <c r="D29" s="119"/>
      <c r="E29" s="58">
        <f t="shared" si="1"/>
        <v>4752</v>
      </c>
      <c r="F29" s="59">
        <f>E29/F4</f>
        <v>99</v>
      </c>
    </row>
    <row r="30" ht="15.75" customHeight="1">
      <c r="A30" s="115"/>
      <c r="B30" s="90"/>
      <c r="C30" s="69"/>
      <c r="D30" s="119"/>
      <c r="E30" s="58">
        <f t="shared" si="1"/>
        <v>4752</v>
      </c>
      <c r="F30" s="59">
        <f>E30/F4</f>
        <v>99</v>
      </c>
    </row>
    <row r="31" ht="15.75" customHeight="1">
      <c r="A31" s="115"/>
      <c r="B31" s="90"/>
      <c r="C31" s="69"/>
      <c r="D31" s="119"/>
      <c r="E31" s="58">
        <f t="shared" si="1"/>
        <v>4752</v>
      </c>
      <c r="F31" s="59">
        <f>E31/F4</f>
        <v>99</v>
      </c>
    </row>
    <row r="32" ht="15.75" customHeight="1">
      <c r="A32" s="115"/>
      <c r="B32" s="90"/>
      <c r="C32" s="69"/>
      <c r="D32" s="119"/>
      <c r="E32" s="58">
        <f t="shared" si="1"/>
        <v>4752</v>
      </c>
      <c r="F32" s="59">
        <f>E32/F4</f>
        <v>99</v>
      </c>
    </row>
    <row r="33" ht="15.75" customHeight="1">
      <c r="A33" s="115"/>
      <c r="B33" s="90"/>
      <c r="C33" s="69"/>
      <c r="D33" s="119"/>
      <c r="E33" s="58">
        <f t="shared" si="1"/>
        <v>4752</v>
      </c>
      <c r="F33" s="59">
        <f>E33/F4</f>
        <v>99</v>
      </c>
    </row>
    <row r="34" ht="15.75" customHeight="1">
      <c r="A34" s="115"/>
      <c r="B34" s="90"/>
      <c r="C34" s="69"/>
      <c r="D34" s="119"/>
      <c r="E34" s="58">
        <f t="shared" si="1"/>
        <v>4752</v>
      </c>
      <c r="F34" s="59">
        <f>E34/F4</f>
        <v>99</v>
      </c>
    </row>
    <row r="35" ht="15.75" customHeight="1">
      <c r="A35" s="115"/>
      <c r="B35" s="90"/>
      <c r="C35" s="69"/>
      <c r="D35" s="119"/>
      <c r="E35" s="58">
        <f t="shared" si="1"/>
        <v>4752</v>
      </c>
      <c r="F35" s="59">
        <f>E35/F4</f>
        <v>99</v>
      </c>
    </row>
    <row r="36" ht="15.75" customHeight="1">
      <c r="A36" s="115"/>
      <c r="B36" s="90"/>
      <c r="C36" s="69"/>
      <c r="D36" s="119"/>
      <c r="E36" s="58">
        <f t="shared" si="1"/>
        <v>4752</v>
      </c>
      <c r="F36" s="59">
        <f>E36/F4</f>
        <v>99</v>
      </c>
    </row>
    <row r="37" ht="15.75" customHeight="1">
      <c r="A37" s="115"/>
      <c r="B37" s="90"/>
      <c r="C37" s="69"/>
      <c r="D37" s="119"/>
      <c r="E37" s="58">
        <f t="shared" si="1"/>
        <v>4752</v>
      </c>
      <c r="F37" s="59">
        <f>E37/F4</f>
        <v>99</v>
      </c>
    </row>
    <row r="38" ht="15.75" customHeight="1">
      <c r="A38" s="115"/>
      <c r="B38" s="90"/>
      <c r="C38" s="69"/>
      <c r="D38" s="119"/>
      <c r="E38" s="58">
        <f t="shared" si="1"/>
        <v>4752</v>
      </c>
      <c r="F38" s="59">
        <f>E38/F4</f>
        <v>99</v>
      </c>
    </row>
    <row r="39" ht="15.75" customHeight="1">
      <c r="A39" s="115"/>
      <c r="B39" s="90"/>
      <c r="C39" s="69"/>
      <c r="D39" s="119"/>
      <c r="E39" s="58">
        <f t="shared" si="1"/>
        <v>4752</v>
      </c>
      <c r="F39" s="59">
        <f>E39/F4</f>
        <v>99</v>
      </c>
    </row>
    <row r="40" ht="15.75" customHeight="1">
      <c r="A40" s="115"/>
      <c r="B40" s="90"/>
      <c r="C40" s="69"/>
      <c r="D40" s="119"/>
      <c r="E40" s="58">
        <f t="shared" si="1"/>
        <v>4752</v>
      </c>
      <c r="F40" s="59">
        <f>E40/F4</f>
        <v>99</v>
      </c>
    </row>
    <row r="41" ht="15.75" customHeight="1">
      <c r="A41" s="115"/>
      <c r="B41" s="90"/>
      <c r="C41" s="69"/>
      <c r="D41" s="119"/>
      <c r="E41" s="58">
        <f t="shared" si="1"/>
        <v>4752</v>
      </c>
      <c r="F41" s="59">
        <f>E41/F4</f>
        <v>99</v>
      </c>
    </row>
    <row r="42" ht="15.75" customHeight="1">
      <c r="A42" s="115"/>
      <c r="B42" s="90"/>
      <c r="C42" s="69"/>
      <c r="D42" s="119"/>
      <c r="E42" s="58">
        <f t="shared" si="1"/>
        <v>4752</v>
      </c>
      <c r="F42" s="59">
        <f>E42/F4</f>
        <v>99</v>
      </c>
    </row>
    <row r="43" ht="15.75" customHeight="1">
      <c r="A43" s="115"/>
      <c r="B43" s="90"/>
      <c r="C43" s="69"/>
      <c r="D43" s="119"/>
      <c r="E43" s="58">
        <f t="shared" si="1"/>
        <v>4752</v>
      </c>
      <c r="F43" s="59">
        <f>E43/F4</f>
        <v>99</v>
      </c>
    </row>
    <row r="44" ht="15.75" customHeight="1">
      <c r="A44" s="115"/>
      <c r="B44" s="90"/>
      <c r="C44" s="69"/>
      <c r="D44" s="119"/>
      <c r="E44" s="58">
        <f t="shared" si="1"/>
        <v>4752</v>
      </c>
      <c r="F44" s="59">
        <f>E44/F4</f>
        <v>99</v>
      </c>
    </row>
    <row r="45" ht="15.75" customHeight="1">
      <c r="A45" s="115"/>
      <c r="B45" s="90"/>
      <c r="C45" s="69"/>
      <c r="D45" s="119"/>
      <c r="E45" s="58">
        <f t="shared" si="1"/>
        <v>4752</v>
      </c>
      <c r="F45" s="59">
        <f>E45/F4</f>
        <v>99</v>
      </c>
    </row>
    <row r="46" ht="15.75" customHeight="1">
      <c r="A46" s="115"/>
      <c r="B46" s="90"/>
      <c r="C46" s="69"/>
      <c r="D46" s="119"/>
      <c r="E46" s="58">
        <f t="shared" si="1"/>
        <v>4752</v>
      </c>
      <c r="F46" s="59">
        <f>E46/F4</f>
        <v>99</v>
      </c>
    </row>
    <row r="47" ht="15.75" customHeight="1">
      <c r="A47" s="115"/>
      <c r="B47" s="90"/>
      <c r="C47" s="69"/>
      <c r="D47" s="119"/>
      <c r="E47" s="58">
        <f t="shared" si="1"/>
        <v>4752</v>
      </c>
      <c r="F47" s="59">
        <f>E47/F4</f>
        <v>99</v>
      </c>
    </row>
    <row r="48" ht="15.75" customHeight="1">
      <c r="A48" s="115"/>
      <c r="B48" s="90"/>
      <c r="C48" s="69"/>
      <c r="D48" s="119"/>
      <c r="E48" s="58">
        <f t="shared" si="1"/>
        <v>4752</v>
      </c>
      <c r="F48" s="59">
        <f>E48/F4</f>
        <v>99</v>
      </c>
    </row>
    <row r="49" ht="15.75" customHeight="1">
      <c r="A49" s="115"/>
      <c r="B49" s="90"/>
      <c r="C49" s="69"/>
      <c r="D49" s="119"/>
      <c r="E49" s="58">
        <f t="shared" si="1"/>
        <v>4752</v>
      </c>
      <c r="F49" s="59">
        <f>E49/F4</f>
        <v>99</v>
      </c>
    </row>
    <row r="50" ht="15.75" customHeight="1">
      <c r="A50" s="115"/>
      <c r="B50" s="90"/>
      <c r="C50" s="69"/>
      <c r="D50" s="119"/>
      <c r="E50" s="58">
        <f t="shared" si="1"/>
        <v>4752</v>
      </c>
      <c r="F50" s="59">
        <f>E50/F4</f>
        <v>99</v>
      </c>
    </row>
    <row r="51" ht="15.75" customHeight="1">
      <c r="A51" s="90"/>
      <c r="B51" s="90"/>
      <c r="C51" s="69"/>
      <c r="D51" s="119"/>
      <c r="E51" s="58">
        <f t="shared" si="1"/>
        <v>4752</v>
      </c>
      <c r="F51" s="59">
        <f>E51/F4</f>
        <v>99</v>
      </c>
    </row>
    <row r="52" ht="15.75" customHeight="1">
      <c r="A52" s="120"/>
      <c r="D52" s="104"/>
      <c r="F52" s="121"/>
    </row>
    <row r="53" ht="15.75" customHeight="1">
      <c r="A53" s="120"/>
      <c r="D53" s="104"/>
      <c r="F53" s="121"/>
    </row>
    <row r="54" ht="15.75" customHeight="1">
      <c r="A54" s="120"/>
      <c r="D54" s="104"/>
      <c r="F54" s="121"/>
    </row>
    <row r="55" ht="15.75" customHeight="1">
      <c r="A55" s="120"/>
      <c r="D55" s="104"/>
      <c r="F55" s="121"/>
    </row>
    <row r="56" ht="15.75" customHeight="1">
      <c r="A56" s="120"/>
      <c r="D56" s="104"/>
      <c r="F56" s="121"/>
    </row>
    <row r="57" ht="15.75" customHeight="1">
      <c r="A57" s="120"/>
      <c r="D57" s="104"/>
      <c r="F57" s="121"/>
    </row>
    <row r="58" ht="15.75" customHeight="1">
      <c r="A58" s="120"/>
      <c r="D58" s="104"/>
      <c r="F58" s="121"/>
    </row>
    <row r="59" ht="15.75" customHeight="1">
      <c r="A59" s="120"/>
      <c r="D59" s="104"/>
      <c r="F59" s="121"/>
    </row>
    <row r="60" ht="15.75" customHeight="1">
      <c r="A60" s="120"/>
      <c r="D60" s="104"/>
      <c r="F60" s="121"/>
    </row>
    <row r="61" ht="15.75" customHeight="1">
      <c r="A61" s="120"/>
      <c r="D61" s="104"/>
      <c r="F61" s="121"/>
    </row>
    <row r="62" ht="15.75" customHeight="1">
      <c r="A62" s="120"/>
      <c r="D62" s="104"/>
      <c r="F62" s="121"/>
    </row>
    <row r="63" ht="15.75" customHeight="1">
      <c r="A63" s="120"/>
      <c r="D63" s="104"/>
      <c r="F63" s="121"/>
    </row>
    <row r="64" ht="15.75" customHeight="1">
      <c r="A64" s="120"/>
      <c r="D64" s="104"/>
      <c r="F64" s="121"/>
    </row>
    <row r="65" ht="15.75" customHeight="1">
      <c r="A65" s="120"/>
      <c r="D65" s="104"/>
      <c r="F65" s="121"/>
    </row>
    <row r="66" ht="15.75" customHeight="1">
      <c r="A66" s="120"/>
      <c r="D66" s="104"/>
      <c r="F66" s="121"/>
    </row>
    <row r="67" ht="15.75" customHeight="1">
      <c r="A67" s="120"/>
      <c r="D67" s="104"/>
      <c r="F67" s="121"/>
    </row>
    <row r="68" ht="15.75" customHeight="1">
      <c r="A68" s="120"/>
      <c r="D68" s="104"/>
      <c r="F68" s="121"/>
    </row>
    <row r="69" ht="15.75" customHeight="1">
      <c r="A69" s="120"/>
      <c r="D69" s="104"/>
      <c r="F69" s="121"/>
    </row>
    <row r="70" ht="15.75" customHeight="1">
      <c r="A70" s="120"/>
      <c r="D70" s="104"/>
      <c r="F70" s="121"/>
    </row>
    <row r="71" ht="15.75" customHeight="1">
      <c r="A71" s="120"/>
      <c r="D71" s="104"/>
      <c r="F71" s="121"/>
    </row>
    <row r="72" ht="15.75" customHeight="1">
      <c r="A72" s="120"/>
      <c r="D72" s="104"/>
      <c r="F72" s="121"/>
    </row>
    <row r="73" ht="15.75" customHeight="1">
      <c r="A73" s="120"/>
      <c r="D73" s="104"/>
      <c r="F73" s="121"/>
    </row>
    <row r="74" ht="15.75" customHeight="1">
      <c r="A74" s="120"/>
      <c r="D74" s="104"/>
      <c r="F74" s="121"/>
    </row>
    <row r="75" ht="15.75" customHeight="1">
      <c r="A75" s="120"/>
      <c r="D75" s="104"/>
      <c r="F75" s="121"/>
    </row>
    <row r="76" ht="15.75" customHeight="1">
      <c r="A76" s="120"/>
      <c r="D76" s="104"/>
      <c r="F76" s="121"/>
    </row>
    <row r="77" ht="15.75" customHeight="1">
      <c r="A77" s="120"/>
      <c r="D77" s="104"/>
      <c r="F77" s="121"/>
    </row>
    <row r="78" ht="15.75" customHeight="1">
      <c r="A78" s="120"/>
      <c r="D78" s="104"/>
      <c r="F78" s="121"/>
    </row>
    <row r="79" ht="15.75" customHeight="1">
      <c r="A79" s="120"/>
      <c r="D79" s="104"/>
      <c r="F79" s="121"/>
    </row>
    <row r="80" ht="15.75" customHeight="1">
      <c r="A80" s="120"/>
      <c r="D80" s="104"/>
      <c r="F80" s="121"/>
    </row>
    <row r="81" ht="15.75" customHeight="1">
      <c r="A81" s="120"/>
      <c r="D81" s="104"/>
      <c r="F81" s="121"/>
    </row>
    <row r="82" ht="15.75" customHeight="1">
      <c r="A82" s="120"/>
      <c r="D82" s="104"/>
      <c r="F82" s="121"/>
    </row>
    <row r="83" ht="15.75" customHeight="1">
      <c r="A83" s="120"/>
      <c r="D83" s="104"/>
      <c r="F83" s="121"/>
    </row>
    <row r="84" ht="15.75" customHeight="1">
      <c r="A84" s="120"/>
      <c r="D84" s="104"/>
      <c r="F84" s="121"/>
    </row>
    <row r="85" ht="15.75" customHeight="1">
      <c r="A85" s="120"/>
      <c r="D85" s="104"/>
      <c r="F85" s="121"/>
    </row>
    <row r="86" ht="15.75" customHeight="1">
      <c r="A86" s="120"/>
      <c r="D86" s="104"/>
      <c r="F86" s="121"/>
    </row>
    <row r="87" ht="15.75" customHeight="1">
      <c r="A87" s="120"/>
      <c r="D87" s="104"/>
      <c r="F87" s="121"/>
    </row>
    <row r="88" ht="15.75" customHeight="1">
      <c r="A88" s="120"/>
      <c r="D88" s="104"/>
      <c r="F88" s="121"/>
    </row>
    <row r="89" ht="15.75" customHeight="1">
      <c r="A89" s="120"/>
      <c r="D89" s="104"/>
      <c r="F89" s="121"/>
    </row>
    <row r="90" ht="15.75" customHeight="1">
      <c r="A90" s="120"/>
      <c r="D90" s="104"/>
      <c r="F90" s="121"/>
    </row>
    <row r="91" ht="15.75" customHeight="1">
      <c r="A91" s="120"/>
      <c r="D91" s="104"/>
      <c r="F91" s="121"/>
    </row>
    <row r="92" ht="15.75" customHeight="1">
      <c r="A92" s="120"/>
      <c r="D92" s="104"/>
      <c r="F92" s="121"/>
    </row>
    <row r="93" ht="15.75" customHeight="1">
      <c r="A93" s="120"/>
      <c r="D93" s="104"/>
      <c r="F93" s="121"/>
    </row>
    <row r="94" ht="15.75" customHeight="1">
      <c r="A94" s="120"/>
      <c r="D94" s="104"/>
      <c r="F94" s="121"/>
    </row>
    <row r="95" ht="15.75" customHeight="1">
      <c r="A95" s="120"/>
      <c r="D95" s="104"/>
      <c r="F95" s="121"/>
    </row>
    <row r="96" ht="15.75" customHeight="1">
      <c r="A96" s="120"/>
      <c r="D96" s="104"/>
      <c r="F96" s="121"/>
    </row>
    <row r="97" ht="15.75" customHeight="1">
      <c r="A97" s="120"/>
      <c r="D97" s="104"/>
      <c r="F97" s="121"/>
    </row>
    <row r="98" ht="15.75" customHeight="1">
      <c r="A98" s="120"/>
      <c r="D98" s="104"/>
      <c r="F98" s="121"/>
    </row>
    <row r="99" ht="15.75" customHeight="1">
      <c r="A99" s="120"/>
      <c r="D99" s="104"/>
      <c r="F99" s="121"/>
    </row>
    <row r="100" ht="15.75" customHeight="1">
      <c r="A100" s="120"/>
      <c r="D100" s="104"/>
      <c r="F100" s="121"/>
    </row>
    <row r="101" ht="15.75" customHeight="1">
      <c r="A101" s="120"/>
      <c r="D101" s="104"/>
      <c r="F101" s="121"/>
    </row>
    <row r="102" ht="15.75" customHeight="1">
      <c r="A102" s="120"/>
      <c r="D102" s="104"/>
      <c r="F102" s="121"/>
    </row>
    <row r="103" ht="15.75" customHeight="1">
      <c r="A103" s="120"/>
      <c r="D103" s="104"/>
      <c r="F103" s="121"/>
    </row>
    <row r="104" ht="15.75" customHeight="1">
      <c r="A104" s="120"/>
      <c r="D104" s="104"/>
      <c r="F104" s="121"/>
    </row>
    <row r="105" ht="15.75" customHeight="1">
      <c r="A105" s="120"/>
      <c r="D105" s="104"/>
      <c r="F105" s="121"/>
    </row>
    <row r="106" ht="15.75" customHeight="1">
      <c r="A106" s="120"/>
      <c r="D106" s="104"/>
      <c r="F106" s="121"/>
    </row>
    <row r="107" ht="15.75" customHeight="1">
      <c r="A107" s="120"/>
      <c r="D107" s="104"/>
      <c r="F107" s="121"/>
    </row>
    <row r="108" ht="15.75" customHeight="1">
      <c r="A108" s="120"/>
      <c r="D108" s="104"/>
      <c r="F108" s="121"/>
    </row>
    <row r="109" ht="15.75" customHeight="1">
      <c r="A109" s="120"/>
      <c r="D109" s="104"/>
      <c r="F109" s="121"/>
    </row>
    <row r="110" ht="15.75" customHeight="1">
      <c r="A110" s="120"/>
      <c r="D110" s="104"/>
      <c r="F110" s="121"/>
    </row>
    <row r="111" ht="15.75" customHeight="1">
      <c r="A111" s="120"/>
      <c r="D111" s="104"/>
      <c r="F111" s="121"/>
    </row>
    <row r="112" ht="15.75" customHeight="1">
      <c r="A112" s="120"/>
      <c r="D112" s="104"/>
      <c r="F112" s="121"/>
    </row>
    <row r="113" ht="15.75" customHeight="1">
      <c r="A113" s="120"/>
      <c r="D113" s="104"/>
      <c r="F113" s="121"/>
    </row>
    <row r="114" ht="15.75" customHeight="1">
      <c r="A114" s="120"/>
      <c r="D114" s="104"/>
      <c r="F114" s="121"/>
    </row>
    <row r="115" ht="15.75" customHeight="1">
      <c r="A115" s="120"/>
      <c r="D115" s="104"/>
      <c r="F115" s="121"/>
    </row>
    <row r="116" ht="15.75" customHeight="1">
      <c r="A116" s="120"/>
      <c r="D116" s="104"/>
      <c r="F116" s="121"/>
    </row>
    <row r="117" ht="15.75" customHeight="1">
      <c r="A117" s="120"/>
      <c r="D117" s="104"/>
      <c r="F117" s="121"/>
    </row>
    <row r="118" ht="15.75" customHeight="1">
      <c r="A118" s="120"/>
      <c r="D118" s="104"/>
      <c r="F118" s="121"/>
    </row>
    <row r="119" ht="15.75" customHeight="1">
      <c r="A119" s="120"/>
      <c r="D119" s="104"/>
      <c r="F119" s="121"/>
    </row>
    <row r="120" ht="15.75" customHeight="1">
      <c r="A120" s="120"/>
      <c r="D120" s="104"/>
      <c r="F120" s="121"/>
    </row>
    <row r="121" ht="15.75" customHeight="1">
      <c r="A121" s="120"/>
      <c r="D121" s="104"/>
      <c r="F121" s="121"/>
    </row>
    <row r="122" ht="15.75" customHeight="1">
      <c r="A122" s="120"/>
      <c r="D122" s="104"/>
      <c r="F122" s="121"/>
    </row>
    <row r="123" ht="15.75" customHeight="1">
      <c r="A123" s="120"/>
      <c r="D123" s="104"/>
      <c r="F123" s="121"/>
    </row>
    <row r="124" ht="15.75" customHeight="1">
      <c r="A124" s="120"/>
      <c r="D124" s="104"/>
      <c r="F124" s="121"/>
    </row>
    <row r="125" ht="15.75" customHeight="1">
      <c r="A125" s="120"/>
      <c r="D125" s="104"/>
      <c r="F125" s="121"/>
    </row>
    <row r="126" ht="15.75" customHeight="1">
      <c r="A126" s="120"/>
      <c r="D126" s="104"/>
      <c r="F126" s="121"/>
    </row>
    <row r="127" ht="15.75" customHeight="1">
      <c r="A127" s="120"/>
      <c r="D127" s="104"/>
      <c r="F127" s="121"/>
    </row>
    <row r="128" ht="15.75" customHeight="1">
      <c r="A128" s="120"/>
      <c r="D128" s="104"/>
      <c r="F128" s="121"/>
    </row>
    <row r="129" ht="15.75" customHeight="1">
      <c r="A129" s="120"/>
      <c r="D129" s="104"/>
      <c r="F129" s="121"/>
    </row>
    <row r="130" ht="15.75" customHeight="1">
      <c r="A130" s="120"/>
      <c r="D130" s="104"/>
      <c r="F130" s="121"/>
    </row>
    <row r="131" ht="15.75" customHeight="1">
      <c r="A131" s="120"/>
      <c r="D131" s="104"/>
      <c r="F131" s="121"/>
    </row>
    <row r="132" ht="15.75" customHeight="1">
      <c r="A132" s="120"/>
      <c r="D132" s="104"/>
      <c r="F132" s="121"/>
    </row>
    <row r="133" ht="15.75" customHeight="1">
      <c r="A133" s="120"/>
      <c r="D133" s="104"/>
      <c r="F133" s="121"/>
    </row>
    <row r="134" ht="15.75" customHeight="1">
      <c r="A134" s="120"/>
      <c r="D134" s="104"/>
      <c r="F134" s="121"/>
    </row>
    <row r="135" ht="15.75" customHeight="1">
      <c r="A135" s="120"/>
      <c r="D135" s="104"/>
      <c r="F135" s="121"/>
    </row>
    <row r="136" ht="15.75" customHeight="1">
      <c r="A136" s="120"/>
      <c r="D136" s="104"/>
      <c r="F136" s="121"/>
    </row>
    <row r="137" ht="15.75" customHeight="1">
      <c r="A137" s="120"/>
      <c r="D137" s="104"/>
      <c r="F137" s="121"/>
    </row>
    <row r="138" ht="15.75" customHeight="1">
      <c r="A138" s="120"/>
      <c r="D138" s="104"/>
      <c r="F138" s="121"/>
    </row>
    <row r="139" ht="15.75" customHeight="1">
      <c r="A139" s="120"/>
      <c r="D139" s="104"/>
      <c r="F139" s="121"/>
    </row>
    <row r="140" ht="15.75" customHeight="1">
      <c r="A140" s="120"/>
      <c r="D140" s="104"/>
      <c r="F140" s="121"/>
    </row>
    <row r="141" ht="15.75" customHeight="1">
      <c r="A141" s="120"/>
      <c r="D141" s="104"/>
      <c r="F141" s="121"/>
    </row>
    <row r="142" ht="15.75" customHeight="1">
      <c r="A142" s="120"/>
      <c r="D142" s="104"/>
      <c r="F142" s="121"/>
    </row>
    <row r="143" ht="15.75" customHeight="1">
      <c r="A143" s="120"/>
      <c r="D143" s="104"/>
      <c r="F143" s="121"/>
    </row>
    <row r="144" ht="15.75" customHeight="1">
      <c r="A144" s="120"/>
      <c r="D144" s="104"/>
      <c r="F144" s="121"/>
    </row>
    <row r="145" ht="15.75" customHeight="1">
      <c r="A145" s="120"/>
      <c r="D145" s="104"/>
      <c r="F145" s="121"/>
    </row>
    <row r="146" ht="15.75" customHeight="1">
      <c r="A146" s="120"/>
      <c r="D146" s="104"/>
      <c r="F146" s="121"/>
    </row>
    <row r="147" ht="15.75" customHeight="1">
      <c r="A147" s="120"/>
      <c r="D147" s="104"/>
      <c r="F147" s="121"/>
    </row>
    <row r="148" ht="15.75" customHeight="1">
      <c r="A148" s="120"/>
      <c r="D148" s="104"/>
      <c r="F148" s="121"/>
    </row>
    <row r="149" ht="15.75" customHeight="1">
      <c r="A149" s="120"/>
      <c r="D149" s="104"/>
      <c r="F149" s="121"/>
    </row>
    <row r="150" ht="15.75" customHeight="1">
      <c r="A150" s="120"/>
      <c r="D150" s="104"/>
      <c r="F150" s="121"/>
    </row>
    <row r="151" ht="15.75" customHeight="1">
      <c r="A151" s="120"/>
      <c r="D151" s="104"/>
      <c r="F151" s="121"/>
    </row>
    <row r="152" ht="15.75" customHeight="1">
      <c r="A152" s="120"/>
      <c r="D152" s="104"/>
      <c r="F152" s="121"/>
    </row>
    <row r="153" ht="15.75" customHeight="1">
      <c r="A153" s="120"/>
      <c r="D153" s="104"/>
      <c r="F153" s="121"/>
    </row>
    <row r="154" ht="15.75" customHeight="1">
      <c r="A154" s="120"/>
      <c r="D154" s="104"/>
      <c r="F154" s="121"/>
    </row>
    <row r="155" ht="15.75" customHeight="1">
      <c r="A155" s="120"/>
      <c r="D155" s="104"/>
      <c r="F155" s="121"/>
    </row>
    <row r="156" ht="15.75" customHeight="1">
      <c r="A156" s="120"/>
      <c r="D156" s="104"/>
      <c r="F156" s="121"/>
    </row>
    <row r="157" ht="15.75" customHeight="1">
      <c r="A157" s="120"/>
      <c r="D157" s="104"/>
      <c r="F157" s="121"/>
    </row>
    <row r="158" ht="15.75" customHeight="1">
      <c r="A158" s="120"/>
      <c r="D158" s="104"/>
      <c r="F158" s="121"/>
    </row>
    <row r="159" ht="15.75" customHeight="1">
      <c r="A159" s="120"/>
      <c r="D159" s="104"/>
      <c r="F159" s="121"/>
    </row>
    <row r="160" ht="15.75" customHeight="1">
      <c r="A160" s="120"/>
      <c r="D160" s="104"/>
      <c r="F160" s="121"/>
    </row>
    <row r="161" ht="15.75" customHeight="1">
      <c r="A161" s="120"/>
      <c r="D161" s="104"/>
      <c r="F161" s="121"/>
    </row>
    <row r="162" ht="15.75" customHeight="1">
      <c r="A162" s="120"/>
      <c r="D162" s="104"/>
      <c r="F162" s="121"/>
    </row>
    <row r="163" ht="15.75" customHeight="1">
      <c r="A163" s="120"/>
      <c r="D163" s="104"/>
      <c r="F163" s="121"/>
    </row>
    <row r="164" ht="15.75" customHeight="1">
      <c r="A164" s="120"/>
      <c r="D164" s="104"/>
      <c r="F164" s="121"/>
    </row>
    <row r="165" ht="15.75" customHeight="1">
      <c r="A165" s="120"/>
      <c r="D165" s="104"/>
      <c r="F165" s="121"/>
    </row>
    <row r="166" ht="15.75" customHeight="1">
      <c r="A166" s="120"/>
      <c r="D166" s="104"/>
      <c r="F166" s="121"/>
    </row>
    <row r="167" ht="15.75" customHeight="1">
      <c r="A167" s="120"/>
      <c r="D167" s="104"/>
      <c r="F167" s="121"/>
    </row>
    <row r="168" ht="15.75" customHeight="1">
      <c r="A168" s="120"/>
      <c r="D168" s="104"/>
      <c r="F168" s="121"/>
    </row>
    <row r="169" ht="15.75" customHeight="1">
      <c r="A169" s="120"/>
      <c r="D169" s="104"/>
      <c r="F169" s="121"/>
    </row>
    <row r="170" ht="15.75" customHeight="1">
      <c r="A170" s="120"/>
      <c r="D170" s="104"/>
      <c r="F170" s="121"/>
    </row>
    <row r="171" ht="15.75" customHeight="1">
      <c r="A171" s="120"/>
      <c r="D171" s="104"/>
      <c r="F171" s="121"/>
    </row>
    <row r="172" ht="15.75" customHeight="1">
      <c r="A172" s="120"/>
      <c r="D172" s="104"/>
      <c r="F172" s="121"/>
    </row>
    <row r="173" ht="15.75" customHeight="1">
      <c r="A173" s="120"/>
      <c r="D173" s="104"/>
      <c r="F173" s="121"/>
    </row>
    <row r="174" ht="15.75" customHeight="1">
      <c r="A174" s="120"/>
      <c r="D174" s="104"/>
      <c r="F174" s="121"/>
    </row>
    <row r="175" ht="15.75" customHeight="1">
      <c r="A175" s="120"/>
      <c r="D175" s="104"/>
      <c r="F175" s="121"/>
    </row>
    <row r="176" ht="15.75" customHeight="1">
      <c r="A176" s="120"/>
      <c r="D176" s="104"/>
      <c r="F176" s="121"/>
    </row>
    <row r="177" ht="15.75" customHeight="1">
      <c r="A177" s="120"/>
      <c r="D177" s="104"/>
      <c r="F177" s="121"/>
    </row>
    <row r="178" ht="15.75" customHeight="1">
      <c r="A178" s="120"/>
      <c r="D178" s="104"/>
      <c r="F178" s="121"/>
    </row>
    <row r="179" ht="15.75" customHeight="1">
      <c r="A179" s="120"/>
      <c r="D179" s="104"/>
      <c r="F179" s="121"/>
    </row>
    <row r="180" ht="15.75" customHeight="1">
      <c r="A180" s="120"/>
      <c r="D180" s="104"/>
      <c r="F180" s="121"/>
    </row>
    <row r="181" ht="15.75" customHeight="1">
      <c r="A181" s="120"/>
      <c r="D181" s="104"/>
      <c r="F181" s="121"/>
    </row>
    <row r="182" ht="15.75" customHeight="1">
      <c r="A182" s="120"/>
      <c r="D182" s="104"/>
      <c r="F182" s="121"/>
    </row>
    <row r="183" ht="15.75" customHeight="1">
      <c r="A183" s="120"/>
      <c r="D183" s="104"/>
      <c r="F183" s="121"/>
    </row>
    <row r="184" ht="15.75" customHeight="1">
      <c r="A184" s="120"/>
      <c r="D184" s="104"/>
      <c r="F184" s="121"/>
    </row>
    <row r="185" ht="15.75" customHeight="1">
      <c r="A185" s="120"/>
      <c r="D185" s="104"/>
      <c r="F185" s="121"/>
    </row>
    <row r="186" ht="15.75" customHeight="1">
      <c r="A186" s="120"/>
      <c r="D186" s="104"/>
      <c r="F186" s="121"/>
    </row>
    <row r="187" ht="15.75" customHeight="1">
      <c r="A187" s="120"/>
      <c r="D187" s="104"/>
      <c r="F187" s="121"/>
    </row>
    <row r="188" ht="15.75" customHeight="1">
      <c r="A188" s="120"/>
      <c r="D188" s="104"/>
      <c r="F188" s="121"/>
    </row>
    <row r="189" ht="15.75" customHeight="1">
      <c r="A189" s="120"/>
      <c r="D189" s="104"/>
      <c r="F189" s="121"/>
    </row>
    <row r="190" ht="15.75" customHeight="1">
      <c r="A190" s="120"/>
      <c r="D190" s="104"/>
      <c r="F190" s="121"/>
    </row>
    <row r="191" ht="15.75" customHeight="1">
      <c r="A191" s="120"/>
      <c r="D191" s="104"/>
      <c r="F191" s="121"/>
    </row>
    <row r="192" ht="15.75" customHeight="1">
      <c r="A192" s="120"/>
      <c r="D192" s="104"/>
      <c r="F192" s="121"/>
    </row>
    <row r="193" ht="15.75" customHeight="1">
      <c r="A193" s="120"/>
      <c r="D193" s="104"/>
      <c r="F193" s="121"/>
    </row>
    <row r="194" ht="15.75" customHeight="1">
      <c r="A194" s="120"/>
      <c r="D194" s="104"/>
      <c r="F194" s="121"/>
    </row>
    <row r="195" ht="15.75" customHeight="1">
      <c r="A195" s="120"/>
      <c r="D195" s="104"/>
      <c r="F195" s="121"/>
    </row>
    <row r="196" ht="15.75" customHeight="1">
      <c r="A196" s="120"/>
      <c r="D196" s="104"/>
      <c r="F196" s="121"/>
    </row>
    <row r="197" ht="15.75" customHeight="1">
      <c r="A197" s="120"/>
      <c r="D197" s="104"/>
      <c r="F197" s="121"/>
    </row>
    <row r="198" ht="15.75" customHeight="1">
      <c r="A198" s="120"/>
      <c r="D198" s="104"/>
      <c r="F198" s="121"/>
    </row>
    <row r="199" ht="15.75" customHeight="1">
      <c r="A199" s="120"/>
      <c r="D199" s="104"/>
      <c r="F199" s="121"/>
    </row>
    <row r="200" ht="15.75" customHeight="1">
      <c r="A200" s="120"/>
      <c r="D200" s="104"/>
      <c r="F200" s="121"/>
    </row>
    <row r="201" ht="15.75" customHeight="1">
      <c r="A201" s="120"/>
      <c r="D201" s="104"/>
      <c r="F201" s="121"/>
    </row>
    <row r="202" ht="15.75" customHeight="1">
      <c r="A202" s="120"/>
      <c r="D202" s="104"/>
      <c r="F202" s="121"/>
    </row>
    <row r="203" ht="15.75" customHeight="1">
      <c r="A203" s="120"/>
      <c r="D203" s="104"/>
      <c r="F203" s="121"/>
    </row>
    <row r="204" ht="15.75" customHeight="1">
      <c r="A204" s="120"/>
      <c r="D204" s="104"/>
      <c r="F204" s="121"/>
    </row>
    <row r="205" ht="15.75" customHeight="1">
      <c r="A205" s="120"/>
      <c r="D205" s="104"/>
      <c r="F205" s="121"/>
    </row>
    <row r="206" ht="15.75" customHeight="1">
      <c r="A206" s="120"/>
      <c r="D206" s="104"/>
      <c r="F206" s="121"/>
    </row>
    <row r="207" ht="15.75" customHeight="1">
      <c r="A207" s="120"/>
      <c r="D207" s="104"/>
      <c r="F207" s="121"/>
    </row>
    <row r="208" ht="15.75" customHeight="1">
      <c r="A208" s="120"/>
      <c r="D208" s="104"/>
      <c r="F208" s="121"/>
    </row>
    <row r="209" ht="15.75" customHeight="1">
      <c r="A209" s="120"/>
      <c r="D209" s="104"/>
      <c r="F209" s="121"/>
    </row>
    <row r="210" ht="15.75" customHeight="1">
      <c r="A210" s="120"/>
      <c r="D210" s="104"/>
      <c r="F210" s="121"/>
    </row>
    <row r="211" ht="15.75" customHeight="1">
      <c r="A211" s="120"/>
      <c r="D211" s="104"/>
      <c r="F211" s="121"/>
    </row>
    <row r="212" ht="15.75" customHeight="1">
      <c r="A212" s="120"/>
      <c r="D212" s="104"/>
      <c r="F212" s="121"/>
    </row>
    <row r="213" ht="15.75" customHeight="1">
      <c r="A213" s="120"/>
      <c r="D213" s="104"/>
      <c r="F213" s="121"/>
    </row>
    <row r="214" ht="15.75" customHeight="1">
      <c r="A214" s="120"/>
      <c r="D214" s="104"/>
      <c r="F214" s="121"/>
    </row>
    <row r="215" ht="15.75" customHeight="1">
      <c r="A215" s="120"/>
      <c r="D215" s="104"/>
      <c r="F215" s="121"/>
    </row>
    <row r="216" ht="15.75" customHeight="1">
      <c r="A216" s="120"/>
      <c r="D216" s="104"/>
      <c r="F216" s="121"/>
    </row>
    <row r="217" ht="15.75" customHeight="1">
      <c r="A217" s="120"/>
      <c r="D217" s="104"/>
      <c r="F217" s="121"/>
    </row>
    <row r="218" ht="15.75" customHeight="1">
      <c r="A218" s="120"/>
      <c r="D218" s="104"/>
      <c r="F218" s="121"/>
    </row>
    <row r="219" ht="15.75" customHeight="1">
      <c r="A219" s="120"/>
      <c r="D219" s="104"/>
      <c r="F219" s="121"/>
    </row>
    <row r="220" ht="15.75" customHeight="1">
      <c r="A220" s="120"/>
      <c r="D220" s="104"/>
      <c r="F220" s="121"/>
    </row>
    <row r="221" ht="15.75" customHeight="1">
      <c r="A221" s="120"/>
      <c r="D221" s="104"/>
      <c r="F221" s="121"/>
    </row>
    <row r="222" ht="15.75" customHeight="1">
      <c r="A222" s="120"/>
      <c r="D222" s="104"/>
      <c r="F222" s="121"/>
    </row>
    <row r="223" ht="15.75" customHeight="1">
      <c r="A223" s="120"/>
      <c r="D223" s="104"/>
      <c r="F223" s="121"/>
    </row>
    <row r="224" ht="15.75" customHeight="1">
      <c r="A224" s="120"/>
      <c r="D224" s="104"/>
      <c r="F224" s="121"/>
    </row>
    <row r="225" ht="15.75" customHeight="1">
      <c r="A225" s="120"/>
      <c r="D225" s="104"/>
      <c r="F225" s="121"/>
    </row>
    <row r="226" ht="15.75" customHeight="1">
      <c r="A226" s="120"/>
      <c r="D226" s="104"/>
      <c r="F226" s="121"/>
    </row>
    <row r="227" ht="15.75" customHeight="1">
      <c r="A227" s="120"/>
      <c r="D227" s="104"/>
      <c r="F227" s="121"/>
    </row>
    <row r="228" ht="15.75" customHeight="1">
      <c r="A228" s="120"/>
      <c r="D228" s="104"/>
      <c r="F228" s="121"/>
    </row>
    <row r="229" ht="15.75" customHeight="1">
      <c r="A229" s="120"/>
      <c r="D229" s="104"/>
      <c r="F229" s="121"/>
    </row>
    <row r="230" ht="15.75" customHeight="1">
      <c r="A230" s="120"/>
      <c r="D230" s="104"/>
      <c r="F230" s="121"/>
    </row>
    <row r="231" ht="15.75" customHeight="1">
      <c r="A231" s="120"/>
      <c r="D231" s="104"/>
      <c r="F231" s="121"/>
    </row>
    <row r="232" ht="15.75" customHeight="1">
      <c r="A232" s="120"/>
      <c r="D232" s="104"/>
      <c r="F232" s="121"/>
    </row>
    <row r="233" ht="15.75" customHeight="1">
      <c r="A233" s="120"/>
      <c r="D233" s="104"/>
      <c r="F233" s="121"/>
    </row>
    <row r="234" ht="15.75" customHeight="1">
      <c r="A234" s="120"/>
      <c r="D234" s="104"/>
      <c r="F234" s="121"/>
    </row>
    <row r="235" ht="15.75" customHeight="1">
      <c r="A235" s="120"/>
      <c r="D235" s="104"/>
      <c r="F235" s="121"/>
    </row>
    <row r="236" ht="15.75" customHeight="1">
      <c r="A236" s="120"/>
      <c r="D236" s="104"/>
      <c r="F236" s="121"/>
    </row>
    <row r="237" ht="15.75" customHeight="1">
      <c r="A237" s="120"/>
      <c r="D237" s="104"/>
      <c r="F237" s="121"/>
    </row>
    <row r="238" ht="15.75" customHeight="1">
      <c r="A238" s="120"/>
      <c r="D238" s="104"/>
      <c r="F238" s="121"/>
    </row>
    <row r="239" ht="15.75" customHeight="1">
      <c r="A239" s="120"/>
      <c r="D239" s="104"/>
      <c r="F239" s="121"/>
    </row>
    <row r="240" ht="15.75" customHeight="1">
      <c r="A240" s="120"/>
      <c r="D240" s="104"/>
      <c r="F240" s="121"/>
    </row>
    <row r="241" ht="15.75" customHeight="1">
      <c r="A241" s="120"/>
      <c r="D241" s="104"/>
      <c r="F241" s="121"/>
    </row>
    <row r="242" ht="15.75" customHeight="1">
      <c r="A242" s="120"/>
      <c r="D242" s="104"/>
      <c r="F242" s="121"/>
    </row>
    <row r="243" ht="15.75" customHeight="1">
      <c r="A243" s="120"/>
      <c r="D243" s="104"/>
      <c r="F243" s="121"/>
    </row>
    <row r="244" ht="15.75" customHeight="1">
      <c r="A244" s="120"/>
      <c r="D244" s="104"/>
      <c r="F244" s="121"/>
    </row>
    <row r="245" ht="15.75" customHeight="1">
      <c r="A245" s="120"/>
      <c r="D245" s="104"/>
      <c r="F245" s="121"/>
    </row>
    <row r="246" ht="15.75" customHeight="1">
      <c r="A246" s="120"/>
      <c r="D246" s="104"/>
      <c r="F246" s="121"/>
    </row>
    <row r="247" ht="15.75" customHeight="1">
      <c r="A247" s="120"/>
      <c r="D247" s="104"/>
      <c r="F247" s="121"/>
    </row>
    <row r="248" ht="15.75" customHeight="1">
      <c r="A248" s="120"/>
      <c r="D248" s="104"/>
      <c r="F248" s="121"/>
    </row>
    <row r="249" ht="15.75" customHeight="1">
      <c r="A249" s="120"/>
      <c r="D249" s="104"/>
      <c r="F249" s="121"/>
    </row>
    <row r="250" ht="15.75" customHeight="1">
      <c r="A250" s="120"/>
      <c r="D250" s="104"/>
      <c r="F250" s="121"/>
    </row>
    <row r="251" ht="15.75" customHeight="1">
      <c r="A251" s="120"/>
      <c r="D251" s="104"/>
      <c r="F251" s="121"/>
    </row>
    <row r="252" ht="15.75" customHeight="1">
      <c r="A252" s="120"/>
      <c r="D252" s="104"/>
      <c r="F252" s="121"/>
    </row>
    <row r="253" ht="15.75" customHeight="1">
      <c r="A253" s="120"/>
      <c r="D253" s="104"/>
      <c r="F253" s="121"/>
    </row>
    <row r="254" ht="15.75" customHeight="1">
      <c r="A254" s="120"/>
      <c r="D254" s="104"/>
      <c r="F254" s="121"/>
    </row>
    <row r="255" ht="15.75" customHeight="1">
      <c r="A255" s="120"/>
      <c r="D255" s="104"/>
      <c r="F255" s="121"/>
    </row>
    <row r="256" ht="15.75" customHeight="1">
      <c r="A256" s="120"/>
      <c r="D256" s="104"/>
      <c r="F256" s="121"/>
    </row>
    <row r="257" ht="15.75" customHeight="1">
      <c r="A257" s="120"/>
      <c r="D257" s="104"/>
      <c r="F257" s="121"/>
    </row>
    <row r="258" ht="15.75" customHeight="1">
      <c r="A258" s="120"/>
      <c r="D258" s="104"/>
      <c r="F258" s="121"/>
    </row>
    <row r="259" ht="15.75" customHeight="1">
      <c r="A259" s="120"/>
      <c r="D259" s="104"/>
      <c r="F259" s="121"/>
    </row>
    <row r="260" ht="15.75" customHeight="1">
      <c r="A260" s="120"/>
      <c r="D260" s="104"/>
      <c r="F260" s="121"/>
    </row>
    <row r="261" ht="15.75" customHeight="1">
      <c r="A261" s="120"/>
      <c r="D261" s="104"/>
      <c r="F261" s="121"/>
    </row>
    <row r="262" ht="15.75" customHeight="1">
      <c r="A262" s="120"/>
      <c r="D262" s="104"/>
      <c r="F262" s="121"/>
    </row>
    <row r="263" ht="15.75" customHeight="1">
      <c r="A263" s="120"/>
      <c r="D263" s="104"/>
      <c r="F263" s="121"/>
    </row>
    <row r="264" ht="15.75" customHeight="1">
      <c r="A264" s="120"/>
      <c r="D264" s="104"/>
      <c r="F264" s="121"/>
    </row>
    <row r="265" ht="15.75" customHeight="1">
      <c r="A265" s="120"/>
      <c r="D265" s="104"/>
      <c r="F265" s="121"/>
    </row>
    <row r="266" ht="15.75" customHeight="1">
      <c r="A266" s="120"/>
      <c r="D266" s="104"/>
      <c r="F266" s="121"/>
    </row>
    <row r="267" ht="15.75" customHeight="1">
      <c r="A267" s="120"/>
      <c r="D267" s="104"/>
      <c r="F267" s="121"/>
    </row>
    <row r="268" ht="15.75" customHeight="1">
      <c r="A268" s="120"/>
      <c r="D268" s="104"/>
      <c r="F268" s="121"/>
    </row>
    <row r="269" ht="15.75" customHeight="1">
      <c r="A269" s="120"/>
      <c r="D269" s="104"/>
      <c r="F269" s="121"/>
    </row>
    <row r="270" ht="15.75" customHeight="1">
      <c r="A270" s="120"/>
      <c r="D270" s="104"/>
      <c r="F270" s="121"/>
    </row>
    <row r="271" ht="15.75" customHeight="1">
      <c r="A271" s="120"/>
      <c r="D271" s="104"/>
      <c r="F271" s="121"/>
    </row>
    <row r="272" ht="15.75" customHeight="1">
      <c r="A272" s="120"/>
      <c r="D272" s="104"/>
      <c r="F272" s="121"/>
    </row>
    <row r="273" ht="15.75" customHeight="1">
      <c r="A273" s="120"/>
      <c r="D273" s="104"/>
      <c r="F273" s="121"/>
    </row>
    <row r="274" ht="15.75" customHeight="1">
      <c r="A274" s="120"/>
      <c r="D274" s="104"/>
      <c r="F274" s="121"/>
    </row>
    <row r="275" ht="15.75" customHeight="1">
      <c r="A275" s="120"/>
      <c r="D275" s="104"/>
      <c r="F275" s="121"/>
    </row>
    <row r="276" ht="15.75" customHeight="1">
      <c r="A276" s="120"/>
      <c r="D276" s="104"/>
      <c r="F276" s="121"/>
    </row>
    <row r="277" ht="15.75" customHeight="1">
      <c r="A277" s="120"/>
      <c r="D277" s="104"/>
      <c r="F277" s="121"/>
    </row>
    <row r="278" ht="15.75" customHeight="1">
      <c r="A278" s="120"/>
      <c r="D278" s="104"/>
      <c r="F278" s="121"/>
    </row>
    <row r="279" ht="15.75" customHeight="1">
      <c r="A279" s="120"/>
      <c r="D279" s="104"/>
      <c r="F279" s="121"/>
    </row>
    <row r="280" ht="15.75" customHeight="1">
      <c r="A280" s="120"/>
      <c r="D280" s="104"/>
      <c r="F280" s="121"/>
    </row>
    <row r="281" ht="15.75" customHeight="1">
      <c r="A281" s="120"/>
      <c r="D281" s="104"/>
      <c r="F281" s="121"/>
    </row>
    <row r="282" ht="15.75" customHeight="1">
      <c r="A282" s="120"/>
      <c r="D282" s="104"/>
      <c r="F282" s="121"/>
    </row>
    <row r="283" ht="15.75" customHeight="1">
      <c r="A283" s="120"/>
      <c r="D283" s="104"/>
      <c r="F283" s="121"/>
    </row>
    <row r="284" ht="15.75" customHeight="1">
      <c r="A284" s="120"/>
      <c r="D284" s="104"/>
      <c r="F284" s="121"/>
    </row>
    <row r="285" ht="15.75" customHeight="1">
      <c r="A285" s="120"/>
      <c r="D285" s="104"/>
      <c r="F285" s="121"/>
    </row>
    <row r="286" ht="15.75" customHeight="1">
      <c r="A286" s="120"/>
      <c r="D286" s="104"/>
      <c r="F286" s="121"/>
    </row>
    <row r="287" ht="15.75" customHeight="1">
      <c r="A287" s="120"/>
      <c r="D287" s="104"/>
      <c r="F287" s="121"/>
    </row>
    <row r="288" ht="15.75" customHeight="1">
      <c r="A288" s="120"/>
      <c r="D288" s="104"/>
      <c r="F288" s="121"/>
    </row>
    <row r="289" ht="15.75" customHeight="1">
      <c r="A289" s="120"/>
      <c r="D289" s="104"/>
      <c r="F289" s="121"/>
    </row>
    <row r="290" ht="15.75" customHeight="1">
      <c r="A290" s="120"/>
      <c r="D290" s="104"/>
      <c r="F290" s="121"/>
    </row>
    <row r="291" ht="15.75" customHeight="1">
      <c r="A291" s="120"/>
      <c r="D291" s="104"/>
      <c r="F291" s="121"/>
    </row>
    <row r="292" ht="15.75" customHeight="1">
      <c r="A292" s="120"/>
      <c r="D292" s="104"/>
      <c r="F292" s="121"/>
    </row>
    <row r="293" ht="15.75" customHeight="1">
      <c r="A293" s="120"/>
      <c r="D293" s="104"/>
      <c r="F293" s="121"/>
    </row>
    <row r="294" ht="15.75" customHeight="1">
      <c r="A294" s="120"/>
      <c r="D294" s="104"/>
      <c r="F294" s="121"/>
    </row>
    <row r="295" ht="15.75" customHeight="1">
      <c r="A295" s="120"/>
      <c r="D295" s="104"/>
      <c r="F295" s="121"/>
    </row>
    <row r="296" ht="15.75" customHeight="1">
      <c r="A296" s="120"/>
      <c r="D296" s="104"/>
      <c r="F296" s="121"/>
    </row>
    <row r="297" ht="15.75" customHeight="1">
      <c r="A297" s="120"/>
      <c r="D297" s="104"/>
      <c r="F297" s="121"/>
    </row>
    <row r="298" ht="15.75" customHeight="1">
      <c r="A298" s="120"/>
      <c r="D298" s="104"/>
      <c r="F298" s="121"/>
    </row>
    <row r="299" ht="15.75" customHeight="1">
      <c r="A299" s="120"/>
      <c r="D299" s="104"/>
      <c r="F299" s="121"/>
    </row>
    <row r="300" ht="15.75" customHeight="1">
      <c r="A300" s="120"/>
      <c r="D300" s="104"/>
      <c r="F300" s="121"/>
    </row>
    <row r="301" ht="15.75" customHeight="1">
      <c r="A301" s="120"/>
      <c r="D301" s="104"/>
      <c r="F301" s="121"/>
    </row>
    <row r="302" ht="15.75" customHeight="1">
      <c r="A302" s="120"/>
      <c r="D302" s="104"/>
      <c r="F302" s="121"/>
    </row>
    <row r="303" ht="15.75" customHeight="1">
      <c r="A303" s="120"/>
      <c r="D303" s="104"/>
      <c r="F303" s="121"/>
    </row>
    <row r="304" ht="15.75" customHeight="1">
      <c r="A304" s="120"/>
      <c r="D304" s="104"/>
      <c r="F304" s="121"/>
    </row>
    <row r="305" ht="15.75" customHeight="1">
      <c r="A305" s="120"/>
      <c r="D305" s="104"/>
      <c r="F305" s="121"/>
    </row>
    <row r="306" ht="15.75" customHeight="1">
      <c r="A306" s="120"/>
      <c r="D306" s="104"/>
      <c r="F306" s="121"/>
    </row>
    <row r="307" ht="15.75" customHeight="1">
      <c r="A307" s="120"/>
      <c r="D307" s="104"/>
      <c r="F307" s="121"/>
    </row>
    <row r="308" ht="15.75" customHeight="1">
      <c r="A308" s="120"/>
      <c r="D308" s="104"/>
      <c r="F308" s="121"/>
    </row>
    <row r="309" ht="15.75" customHeight="1">
      <c r="A309" s="120"/>
      <c r="D309" s="104"/>
      <c r="F309" s="121"/>
    </row>
    <row r="310" ht="15.75" customHeight="1">
      <c r="A310" s="120"/>
      <c r="D310" s="104"/>
      <c r="F310" s="121"/>
    </row>
    <row r="311" ht="15.75" customHeight="1">
      <c r="A311" s="120"/>
      <c r="D311" s="104"/>
      <c r="F311" s="121"/>
    </row>
    <row r="312" ht="15.75" customHeight="1">
      <c r="A312" s="120"/>
      <c r="D312" s="104"/>
      <c r="F312" s="121"/>
    </row>
    <row r="313" ht="15.75" customHeight="1">
      <c r="A313" s="120"/>
      <c r="D313" s="104"/>
      <c r="F313" s="121"/>
    </row>
    <row r="314" ht="15.75" customHeight="1">
      <c r="A314" s="120"/>
      <c r="D314" s="104"/>
      <c r="F314" s="121"/>
    </row>
    <row r="315" ht="15.75" customHeight="1">
      <c r="A315" s="120"/>
      <c r="D315" s="104"/>
      <c r="F315" s="121"/>
    </row>
    <row r="316" ht="15.75" customHeight="1">
      <c r="A316" s="120"/>
      <c r="D316" s="104"/>
      <c r="F316" s="121"/>
    </row>
    <row r="317" ht="15.75" customHeight="1">
      <c r="A317" s="120"/>
      <c r="D317" s="104"/>
      <c r="F317" s="121"/>
    </row>
    <row r="318" ht="15.75" customHeight="1">
      <c r="A318" s="120"/>
      <c r="D318" s="104"/>
      <c r="F318" s="121"/>
    </row>
    <row r="319" ht="15.75" customHeight="1">
      <c r="A319" s="120"/>
      <c r="D319" s="104"/>
      <c r="F319" s="121"/>
    </row>
    <row r="320" ht="15.75" customHeight="1">
      <c r="A320" s="120"/>
      <c r="D320" s="104"/>
      <c r="F320" s="121"/>
    </row>
    <row r="321" ht="15.75" customHeight="1">
      <c r="A321" s="120"/>
      <c r="D321" s="104"/>
      <c r="F321" s="121"/>
    </row>
    <row r="322" ht="15.75" customHeight="1">
      <c r="A322" s="120"/>
      <c r="D322" s="104"/>
      <c r="F322" s="121"/>
    </row>
    <row r="323" ht="15.75" customHeight="1">
      <c r="A323" s="120"/>
      <c r="D323" s="104"/>
      <c r="F323" s="121"/>
    </row>
    <row r="324" ht="15.75" customHeight="1">
      <c r="A324" s="120"/>
      <c r="D324" s="104"/>
      <c r="F324" s="121"/>
    </row>
    <row r="325" ht="15.75" customHeight="1">
      <c r="A325" s="120"/>
      <c r="D325" s="104"/>
      <c r="F325" s="121"/>
    </row>
    <row r="326" ht="15.75" customHeight="1">
      <c r="A326" s="120"/>
      <c r="D326" s="104"/>
      <c r="F326" s="121"/>
    </row>
    <row r="327" ht="15.75" customHeight="1">
      <c r="A327" s="120"/>
      <c r="D327" s="104"/>
      <c r="F327" s="121"/>
    </row>
    <row r="328" ht="15.75" customHeight="1">
      <c r="A328" s="120"/>
      <c r="D328" s="104"/>
      <c r="F328" s="121"/>
    </row>
    <row r="329" ht="15.75" customHeight="1">
      <c r="A329" s="120"/>
      <c r="D329" s="104"/>
      <c r="F329" s="121"/>
    </row>
    <row r="330" ht="15.75" customHeight="1">
      <c r="A330" s="120"/>
      <c r="D330" s="104"/>
      <c r="F330" s="121"/>
    </row>
    <row r="331" ht="15.75" customHeight="1">
      <c r="A331" s="120"/>
      <c r="D331" s="104"/>
      <c r="F331" s="121"/>
    </row>
    <row r="332" ht="15.75" customHeight="1">
      <c r="A332" s="120"/>
      <c r="D332" s="104"/>
      <c r="F332" s="121"/>
    </row>
    <row r="333" ht="15.75" customHeight="1">
      <c r="A333" s="120"/>
      <c r="D333" s="104"/>
      <c r="F333" s="121"/>
    </row>
    <row r="334" ht="15.75" customHeight="1">
      <c r="A334" s="120"/>
      <c r="D334" s="104"/>
      <c r="F334" s="121"/>
    </row>
    <row r="335" ht="15.75" customHeight="1">
      <c r="A335" s="120"/>
      <c r="D335" s="104"/>
      <c r="F335" s="121"/>
    </row>
    <row r="336" ht="15.75" customHeight="1">
      <c r="A336" s="120"/>
      <c r="D336" s="104"/>
      <c r="F336" s="121"/>
    </row>
    <row r="337" ht="15.75" customHeight="1">
      <c r="A337" s="120"/>
      <c r="D337" s="104"/>
      <c r="F337" s="121"/>
    </row>
    <row r="338" ht="15.75" customHeight="1">
      <c r="A338" s="120"/>
      <c r="D338" s="104"/>
      <c r="F338" s="121"/>
    </row>
    <row r="339" ht="15.75" customHeight="1">
      <c r="A339" s="120"/>
      <c r="D339" s="104"/>
      <c r="F339" s="121"/>
    </row>
    <row r="340" ht="15.75" customHeight="1">
      <c r="A340" s="120"/>
      <c r="D340" s="104"/>
      <c r="F340" s="121"/>
    </row>
    <row r="341" ht="15.75" customHeight="1">
      <c r="A341" s="120"/>
      <c r="D341" s="104"/>
      <c r="F341" s="121"/>
    </row>
    <row r="342" ht="15.75" customHeight="1">
      <c r="A342" s="120"/>
      <c r="D342" s="104"/>
      <c r="F342" s="121"/>
    </row>
    <row r="343" ht="15.75" customHeight="1">
      <c r="A343" s="120"/>
      <c r="D343" s="104"/>
      <c r="F343" s="121"/>
    </row>
    <row r="344" ht="15.75" customHeight="1">
      <c r="A344" s="120"/>
      <c r="D344" s="104"/>
      <c r="F344" s="121"/>
    </row>
    <row r="345" ht="15.75" customHeight="1">
      <c r="A345" s="120"/>
      <c r="D345" s="104"/>
      <c r="F345" s="121"/>
    </row>
    <row r="346" ht="15.75" customHeight="1">
      <c r="A346" s="120"/>
      <c r="D346" s="104"/>
      <c r="F346" s="121"/>
    </row>
    <row r="347" ht="15.75" customHeight="1">
      <c r="A347" s="120"/>
      <c r="D347" s="104"/>
      <c r="F347" s="121"/>
    </row>
    <row r="348" ht="15.75" customHeight="1">
      <c r="A348" s="120"/>
      <c r="D348" s="104"/>
      <c r="F348" s="121"/>
    </row>
    <row r="349" ht="15.75" customHeight="1">
      <c r="A349" s="120"/>
      <c r="D349" s="104"/>
      <c r="F349" s="121"/>
    </row>
    <row r="350" ht="15.75" customHeight="1">
      <c r="A350" s="120"/>
      <c r="D350" s="104"/>
      <c r="F350" s="121"/>
    </row>
    <row r="351" ht="15.75" customHeight="1">
      <c r="A351" s="120"/>
      <c r="D351" s="104"/>
      <c r="F351" s="121"/>
    </row>
    <row r="352" ht="15.75" customHeight="1">
      <c r="A352" s="120"/>
      <c r="D352" s="104"/>
      <c r="F352" s="121"/>
    </row>
    <row r="353" ht="15.75" customHeight="1">
      <c r="A353" s="120"/>
      <c r="D353" s="104"/>
      <c r="F353" s="121"/>
    </row>
    <row r="354" ht="15.75" customHeight="1">
      <c r="A354" s="120"/>
      <c r="D354" s="104"/>
      <c r="F354" s="121"/>
    </row>
    <row r="355" ht="15.75" customHeight="1">
      <c r="A355" s="120"/>
      <c r="D355" s="104"/>
      <c r="F355" s="121"/>
    </row>
    <row r="356" ht="15.75" customHeight="1">
      <c r="A356" s="120"/>
      <c r="D356" s="104"/>
      <c r="F356" s="121"/>
    </row>
    <row r="357" ht="15.75" customHeight="1">
      <c r="A357" s="120"/>
      <c r="D357" s="104"/>
      <c r="F357" s="121"/>
    </row>
    <row r="358" ht="15.75" customHeight="1">
      <c r="A358" s="120"/>
      <c r="D358" s="104"/>
      <c r="F358" s="121"/>
    </row>
    <row r="359" ht="15.75" customHeight="1">
      <c r="A359" s="120"/>
      <c r="D359" s="104"/>
      <c r="F359" s="121"/>
    </row>
    <row r="360" ht="15.75" customHeight="1">
      <c r="A360" s="120"/>
      <c r="D360" s="104"/>
      <c r="F360" s="121"/>
    </row>
    <row r="361" ht="15.75" customHeight="1">
      <c r="A361" s="120"/>
      <c r="D361" s="104"/>
      <c r="F361" s="121"/>
    </row>
    <row r="362" ht="15.75" customHeight="1">
      <c r="A362" s="120"/>
      <c r="D362" s="104"/>
      <c r="F362" s="121"/>
    </row>
    <row r="363" ht="15.75" customHeight="1">
      <c r="A363" s="120"/>
      <c r="D363" s="104"/>
      <c r="F363" s="121"/>
    </row>
    <row r="364" ht="15.75" customHeight="1">
      <c r="A364" s="120"/>
      <c r="D364" s="104"/>
      <c r="F364" s="121"/>
    </row>
    <row r="365" ht="15.75" customHeight="1">
      <c r="A365" s="120"/>
      <c r="D365" s="104"/>
      <c r="F365" s="121"/>
    </row>
    <row r="366" ht="15.75" customHeight="1">
      <c r="A366" s="120"/>
      <c r="D366" s="104"/>
      <c r="F366" s="121"/>
    </row>
    <row r="367" ht="15.75" customHeight="1">
      <c r="A367" s="120"/>
      <c r="D367" s="104"/>
      <c r="F367" s="121"/>
    </row>
    <row r="368" ht="15.75" customHeight="1">
      <c r="A368" s="120"/>
      <c r="D368" s="104"/>
      <c r="F368" s="121"/>
    </row>
    <row r="369" ht="15.75" customHeight="1">
      <c r="A369" s="120"/>
      <c r="D369" s="104"/>
      <c r="F369" s="121"/>
    </row>
    <row r="370" ht="15.75" customHeight="1">
      <c r="A370" s="120"/>
      <c r="D370" s="104"/>
      <c r="F370" s="121"/>
    </row>
    <row r="371" ht="15.75" customHeight="1">
      <c r="A371" s="120"/>
      <c r="D371" s="104"/>
      <c r="F371" s="121"/>
    </row>
    <row r="372" ht="15.75" customHeight="1">
      <c r="A372" s="120"/>
      <c r="D372" s="104"/>
      <c r="F372" s="121"/>
    </row>
    <row r="373" ht="15.75" customHeight="1">
      <c r="A373" s="120"/>
      <c r="D373" s="104"/>
      <c r="F373" s="121"/>
    </row>
    <row r="374" ht="15.75" customHeight="1">
      <c r="A374" s="120"/>
      <c r="D374" s="104"/>
      <c r="F374" s="121"/>
    </row>
    <row r="375" ht="15.75" customHeight="1">
      <c r="A375" s="120"/>
      <c r="D375" s="104"/>
      <c r="F375" s="121"/>
    </row>
    <row r="376" ht="15.75" customHeight="1">
      <c r="A376" s="120"/>
      <c r="D376" s="104"/>
      <c r="F376" s="121"/>
    </row>
    <row r="377" ht="15.75" customHeight="1">
      <c r="A377" s="120"/>
      <c r="D377" s="104"/>
      <c r="F377" s="121"/>
    </row>
    <row r="378" ht="15.75" customHeight="1">
      <c r="A378" s="120"/>
      <c r="D378" s="104"/>
      <c r="F378" s="121"/>
    </row>
    <row r="379" ht="15.75" customHeight="1">
      <c r="A379" s="120"/>
      <c r="D379" s="104"/>
      <c r="F379" s="121"/>
    </row>
    <row r="380" ht="15.75" customHeight="1">
      <c r="A380" s="120"/>
      <c r="D380" s="104"/>
      <c r="F380" s="121"/>
    </row>
    <row r="381" ht="15.75" customHeight="1">
      <c r="A381" s="120"/>
      <c r="D381" s="104"/>
      <c r="F381" s="121"/>
    </row>
    <row r="382" ht="15.75" customHeight="1">
      <c r="A382" s="120"/>
      <c r="D382" s="104"/>
      <c r="F382" s="121"/>
    </row>
    <row r="383" ht="15.75" customHeight="1">
      <c r="A383" s="120"/>
      <c r="D383" s="104"/>
      <c r="F383" s="121"/>
    </row>
    <row r="384" ht="15.75" customHeight="1">
      <c r="A384" s="120"/>
      <c r="D384" s="104"/>
      <c r="F384" s="121"/>
    </row>
    <row r="385" ht="15.75" customHeight="1">
      <c r="A385" s="120"/>
      <c r="D385" s="104"/>
      <c r="F385" s="121"/>
    </row>
    <row r="386" ht="15.75" customHeight="1">
      <c r="A386" s="120"/>
      <c r="D386" s="104"/>
      <c r="F386" s="121"/>
    </row>
    <row r="387" ht="15.75" customHeight="1">
      <c r="A387" s="120"/>
      <c r="D387" s="104"/>
      <c r="F387" s="121"/>
    </row>
    <row r="388" ht="15.75" customHeight="1">
      <c r="A388" s="120"/>
      <c r="D388" s="104"/>
      <c r="F388" s="121"/>
    </row>
    <row r="389" ht="15.75" customHeight="1">
      <c r="A389" s="120"/>
      <c r="D389" s="104"/>
      <c r="F389" s="121"/>
    </row>
    <row r="390" ht="15.75" customHeight="1">
      <c r="A390" s="120"/>
      <c r="D390" s="104"/>
      <c r="F390" s="121"/>
    </row>
    <row r="391" ht="15.75" customHeight="1">
      <c r="A391" s="120"/>
      <c r="D391" s="104"/>
      <c r="F391" s="121"/>
    </row>
    <row r="392" ht="15.75" customHeight="1">
      <c r="A392" s="120"/>
      <c r="D392" s="104"/>
      <c r="F392" s="121"/>
    </row>
    <row r="393" ht="15.75" customHeight="1">
      <c r="A393" s="120"/>
      <c r="D393" s="104"/>
      <c r="F393" s="121"/>
    </row>
    <row r="394" ht="15.75" customHeight="1">
      <c r="A394" s="120"/>
      <c r="D394" s="104"/>
      <c r="F394" s="121"/>
    </row>
    <row r="395" ht="15.75" customHeight="1">
      <c r="A395" s="120"/>
      <c r="D395" s="104"/>
      <c r="F395" s="121"/>
    </row>
    <row r="396" ht="15.75" customHeight="1">
      <c r="A396" s="120"/>
      <c r="D396" s="104"/>
      <c r="F396" s="121"/>
    </row>
    <row r="397" ht="15.75" customHeight="1">
      <c r="A397" s="120"/>
      <c r="D397" s="104"/>
      <c r="F397" s="121"/>
    </row>
    <row r="398" ht="15.75" customHeight="1">
      <c r="A398" s="120"/>
      <c r="D398" s="104"/>
      <c r="F398" s="121"/>
    </row>
    <row r="399" ht="15.75" customHeight="1">
      <c r="A399" s="120"/>
      <c r="D399" s="104"/>
      <c r="F399" s="121"/>
    </row>
    <row r="400" ht="15.75" customHeight="1">
      <c r="A400" s="120"/>
      <c r="D400" s="104"/>
      <c r="F400" s="121"/>
    </row>
    <row r="401" ht="15.75" customHeight="1">
      <c r="A401" s="120"/>
      <c r="D401" s="104"/>
      <c r="F401" s="121"/>
    </row>
    <row r="402" ht="15.75" customHeight="1">
      <c r="A402" s="120"/>
      <c r="D402" s="104"/>
      <c r="F402" s="121"/>
    </row>
    <row r="403" ht="15.75" customHeight="1">
      <c r="A403" s="120"/>
      <c r="D403" s="104"/>
      <c r="F403" s="121"/>
    </row>
    <row r="404" ht="15.75" customHeight="1">
      <c r="A404" s="120"/>
      <c r="D404" s="104"/>
      <c r="F404" s="121"/>
    </row>
    <row r="405" ht="15.75" customHeight="1">
      <c r="A405" s="120"/>
      <c r="D405" s="104"/>
      <c r="F405" s="121"/>
    </row>
    <row r="406" ht="15.75" customHeight="1">
      <c r="A406" s="120"/>
      <c r="D406" s="104"/>
      <c r="F406" s="121"/>
    </row>
    <row r="407" ht="15.75" customHeight="1">
      <c r="A407" s="120"/>
      <c r="D407" s="104"/>
      <c r="F407" s="121"/>
    </row>
    <row r="408" ht="15.75" customHeight="1">
      <c r="A408" s="120"/>
      <c r="D408" s="104"/>
      <c r="F408" s="121"/>
    </row>
    <row r="409" ht="15.75" customHeight="1">
      <c r="A409" s="120"/>
      <c r="D409" s="104"/>
      <c r="F409" s="121"/>
    </row>
    <row r="410" ht="15.75" customHeight="1">
      <c r="A410" s="120"/>
      <c r="D410" s="104"/>
      <c r="F410" s="121"/>
    </row>
    <row r="411" ht="15.75" customHeight="1">
      <c r="A411" s="120"/>
      <c r="D411" s="104"/>
      <c r="F411" s="121"/>
    </row>
    <row r="412" ht="15.75" customHeight="1">
      <c r="A412" s="120"/>
      <c r="D412" s="104"/>
      <c r="F412" s="121"/>
    </row>
    <row r="413" ht="15.75" customHeight="1">
      <c r="A413" s="120"/>
      <c r="D413" s="104"/>
      <c r="F413" s="121"/>
    </row>
    <row r="414" ht="15.75" customHeight="1">
      <c r="A414" s="120"/>
      <c r="D414" s="104"/>
      <c r="F414" s="121"/>
    </row>
    <row r="415" ht="15.75" customHeight="1">
      <c r="A415" s="120"/>
      <c r="D415" s="104"/>
      <c r="F415" s="121"/>
    </row>
    <row r="416" ht="15.75" customHeight="1">
      <c r="A416" s="120"/>
      <c r="D416" s="104"/>
      <c r="F416" s="121"/>
    </row>
    <row r="417" ht="15.75" customHeight="1">
      <c r="A417" s="120"/>
      <c r="D417" s="104"/>
      <c r="F417" s="121"/>
    </row>
    <row r="418" ht="15.75" customHeight="1">
      <c r="A418" s="120"/>
      <c r="D418" s="104"/>
      <c r="F418" s="121"/>
    </row>
    <row r="419" ht="15.75" customHeight="1">
      <c r="A419" s="120"/>
      <c r="D419" s="104"/>
      <c r="F419" s="121"/>
    </row>
    <row r="420" ht="15.75" customHeight="1">
      <c r="A420" s="120"/>
      <c r="D420" s="104"/>
      <c r="F420" s="121"/>
    </row>
    <row r="421" ht="15.75" customHeight="1">
      <c r="A421" s="120"/>
      <c r="D421" s="104"/>
      <c r="F421" s="121"/>
    </row>
    <row r="422" ht="15.75" customHeight="1">
      <c r="A422" s="120"/>
      <c r="D422" s="104"/>
      <c r="F422" s="121"/>
    </row>
    <row r="423" ht="15.75" customHeight="1">
      <c r="A423" s="120"/>
      <c r="D423" s="104"/>
      <c r="F423" s="121"/>
    </row>
    <row r="424" ht="15.75" customHeight="1">
      <c r="A424" s="120"/>
      <c r="D424" s="104"/>
      <c r="F424" s="121"/>
    </row>
    <row r="425" ht="15.75" customHeight="1">
      <c r="A425" s="120"/>
      <c r="D425" s="104"/>
      <c r="F425" s="121"/>
    </row>
    <row r="426" ht="15.75" customHeight="1">
      <c r="A426" s="120"/>
      <c r="D426" s="104"/>
      <c r="F426" s="121"/>
    </row>
    <row r="427" ht="15.75" customHeight="1">
      <c r="A427" s="120"/>
      <c r="D427" s="104"/>
      <c r="F427" s="121"/>
    </row>
    <row r="428" ht="15.75" customHeight="1">
      <c r="A428" s="120"/>
      <c r="D428" s="104"/>
      <c r="F428" s="121"/>
    </row>
    <row r="429" ht="15.75" customHeight="1">
      <c r="A429" s="120"/>
      <c r="D429" s="104"/>
      <c r="F429" s="121"/>
    </row>
    <row r="430" ht="15.75" customHeight="1">
      <c r="A430" s="120"/>
      <c r="D430" s="104"/>
      <c r="F430" s="121"/>
    </row>
    <row r="431" ht="15.75" customHeight="1">
      <c r="A431" s="120"/>
      <c r="D431" s="104"/>
      <c r="F431" s="121"/>
    </row>
    <row r="432" ht="15.75" customHeight="1">
      <c r="A432" s="120"/>
      <c r="D432" s="104"/>
      <c r="F432" s="121"/>
    </row>
    <row r="433" ht="15.75" customHeight="1">
      <c r="A433" s="120"/>
      <c r="D433" s="104"/>
      <c r="F433" s="121"/>
    </row>
    <row r="434" ht="15.75" customHeight="1">
      <c r="A434" s="120"/>
      <c r="D434" s="104"/>
      <c r="F434" s="121"/>
    </row>
    <row r="435" ht="15.75" customHeight="1">
      <c r="A435" s="120"/>
      <c r="D435" s="104"/>
      <c r="F435" s="121"/>
    </row>
    <row r="436" ht="15.75" customHeight="1">
      <c r="A436" s="120"/>
      <c r="D436" s="104"/>
      <c r="F436" s="121"/>
    </row>
    <row r="437" ht="15.75" customHeight="1">
      <c r="A437" s="120"/>
      <c r="D437" s="104"/>
      <c r="F437" s="121"/>
    </row>
    <row r="438" ht="15.75" customHeight="1">
      <c r="A438" s="120"/>
      <c r="D438" s="104"/>
      <c r="F438" s="121"/>
    </row>
    <row r="439" ht="15.75" customHeight="1">
      <c r="A439" s="120"/>
      <c r="D439" s="104"/>
      <c r="F439" s="121"/>
    </row>
    <row r="440" ht="15.75" customHeight="1">
      <c r="A440" s="120"/>
      <c r="D440" s="104"/>
      <c r="F440" s="121"/>
    </row>
    <row r="441" ht="15.75" customHeight="1">
      <c r="A441" s="120"/>
      <c r="D441" s="104"/>
      <c r="F441" s="121"/>
    </row>
    <row r="442" ht="15.75" customHeight="1">
      <c r="A442" s="120"/>
      <c r="D442" s="104"/>
      <c r="F442" s="121"/>
    </row>
    <row r="443" ht="15.75" customHeight="1">
      <c r="A443" s="120"/>
      <c r="D443" s="104"/>
      <c r="F443" s="121"/>
    </row>
    <row r="444" ht="15.75" customHeight="1">
      <c r="A444" s="120"/>
      <c r="D444" s="104"/>
      <c r="F444" s="121"/>
    </row>
    <row r="445" ht="15.75" customHeight="1">
      <c r="A445" s="120"/>
      <c r="D445" s="104"/>
      <c r="F445" s="121"/>
    </row>
    <row r="446" ht="15.75" customHeight="1">
      <c r="A446" s="120"/>
      <c r="D446" s="104"/>
      <c r="F446" s="121"/>
    </row>
    <row r="447" ht="15.75" customHeight="1">
      <c r="A447" s="120"/>
      <c r="D447" s="104"/>
      <c r="F447" s="121"/>
    </row>
    <row r="448" ht="15.75" customHeight="1">
      <c r="A448" s="120"/>
      <c r="D448" s="104"/>
      <c r="F448" s="121"/>
    </row>
    <row r="449" ht="15.75" customHeight="1">
      <c r="A449" s="120"/>
      <c r="D449" s="104"/>
      <c r="F449" s="121"/>
    </row>
    <row r="450" ht="15.75" customHeight="1">
      <c r="A450" s="120"/>
      <c r="D450" s="104"/>
      <c r="F450" s="121"/>
    </row>
    <row r="451" ht="15.75" customHeight="1">
      <c r="A451" s="120"/>
      <c r="D451" s="104"/>
      <c r="F451" s="121"/>
    </row>
    <row r="452" ht="15.75" customHeight="1">
      <c r="A452" s="120"/>
      <c r="D452" s="104"/>
      <c r="F452" s="121"/>
    </row>
    <row r="453" ht="15.75" customHeight="1">
      <c r="A453" s="120"/>
      <c r="D453" s="104"/>
      <c r="F453" s="121"/>
    </row>
    <row r="454" ht="15.75" customHeight="1">
      <c r="A454" s="120"/>
      <c r="D454" s="104"/>
      <c r="F454" s="121"/>
    </row>
    <row r="455" ht="15.75" customHeight="1">
      <c r="A455" s="120"/>
      <c r="D455" s="104"/>
      <c r="F455" s="121"/>
    </row>
    <row r="456" ht="15.75" customHeight="1">
      <c r="A456" s="120"/>
      <c r="D456" s="104"/>
      <c r="F456" s="121"/>
    </row>
    <row r="457" ht="15.75" customHeight="1">
      <c r="A457" s="120"/>
      <c r="D457" s="104"/>
      <c r="F457" s="121"/>
    </row>
    <row r="458" ht="15.75" customHeight="1">
      <c r="A458" s="120"/>
      <c r="D458" s="104"/>
      <c r="F458" s="121"/>
    </row>
    <row r="459" ht="15.75" customHeight="1">
      <c r="A459" s="120"/>
      <c r="D459" s="104"/>
      <c r="F459" s="121"/>
    </row>
    <row r="460" ht="15.75" customHeight="1">
      <c r="A460" s="120"/>
      <c r="D460" s="104"/>
      <c r="F460" s="121"/>
    </row>
    <row r="461" ht="15.75" customHeight="1">
      <c r="A461" s="120"/>
      <c r="D461" s="104"/>
      <c r="F461" s="121"/>
    </row>
    <row r="462" ht="15.75" customHeight="1">
      <c r="A462" s="120"/>
      <c r="D462" s="104"/>
      <c r="F462" s="121"/>
    </row>
    <row r="463" ht="15.75" customHeight="1">
      <c r="A463" s="120"/>
      <c r="D463" s="104"/>
      <c r="F463" s="121"/>
    </row>
    <row r="464" ht="15.75" customHeight="1">
      <c r="A464" s="120"/>
      <c r="D464" s="104"/>
      <c r="F464" s="121"/>
    </row>
    <row r="465" ht="15.75" customHeight="1">
      <c r="A465" s="120"/>
      <c r="D465" s="104"/>
      <c r="F465" s="121"/>
    </row>
    <row r="466" ht="15.75" customHeight="1">
      <c r="A466" s="120"/>
      <c r="D466" s="104"/>
      <c r="F466" s="121"/>
    </row>
    <row r="467" ht="15.75" customHeight="1">
      <c r="A467" s="120"/>
      <c r="D467" s="104"/>
      <c r="F467" s="121"/>
    </row>
    <row r="468" ht="15.75" customHeight="1">
      <c r="A468" s="120"/>
      <c r="D468" s="104"/>
      <c r="F468" s="121"/>
    </row>
    <row r="469" ht="15.75" customHeight="1">
      <c r="A469" s="120"/>
      <c r="D469" s="104"/>
      <c r="F469" s="121"/>
    </row>
    <row r="470" ht="15.75" customHeight="1">
      <c r="A470" s="120"/>
      <c r="D470" s="104"/>
      <c r="F470" s="121"/>
    </row>
    <row r="471" ht="15.75" customHeight="1">
      <c r="A471" s="120"/>
      <c r="D471" s="104"/>
      <c r="F471" s="121"/>
    </row>
    <row r="472" ht="15.75" customHeight="1">
      <c r="A472" s="120"/>
      <c r="D472" s="104"/>
      <c r="F472" s="121"/>
    </row>
    <row r="473" ht="15.75" customHeight="1">
      <c r="A473" s="120"/>
      <c r="D473" s="104"/>
      <c r="F473" s="121"/>
    </row>
    <row r="474" ht="15.75" customHeight="1">
      <c r="A474" s="120"/>
      <c r="D474" s="104"/>
      <c r="F474" s="121"/>
    </row>
    <row r="475" ht="15.75" customHeight="1">
      <c r="A475" s="120"/>
      <c r="D475" s="104"/>
      <c r="F475" s="121"/>
    </row>
    <row r="476" ht="15.75" customHeight="1">
      <c r="A476" s="120"/>
      <c r="D476" s="104"/>
      <c r="F476" s="121"/>
    </row>
    <row r="477" ht="15.75" customHeight="1">
      <c r="A477" s="120"/>
      <c r="D477" s="104"/>
      <c r="F477" s="121"/>
    </row>
    <row r="478" ht="15.75" customHeight="1">
      <c r="A478" s="120"/>
      <c r="D478" s="104"/>
      <c r="F478" s="121"/>
    </row>
    <row r="479" ht="15.75" customHeight="1">
      <c r="A479" s="120"/>
      <c r="D479" s="104"/>
      <c r="F479" s="121"/>
    </row>
    <row r="480" ht="15.75" customHeight="1">
      <c r="A480" s="120"/>
      <c r="D480" s="104"/>
      <c r="F480" s="121"/>
    </row>
    <row r="481" ht="15.75" customHeight="1">
      <c r="A481" s="120"/>
      <c r="D481" s="104"/>
      <c r="F481" s="121"/>
    </row>
    <row r="482" ht="15.75" customHeight="1">
      <c r="A482" s="120"/>
      <c r="D482" s="104"/>
      <c r="F482" s="121"/>
    </row>
    <row r="483" ht="15.75" customHeight="1">
      <c r="A483" s="120"/>
      <c r="D483" s="104"/>
      <c r="F483" s="121"/>
    </row>
    <row r="484" ht="15.75" customHeight="1">
      <c r="A484" s="120"/>
      <c r="D484" s="104"/>
      <c r="F484" s="121"/>
    </row>
    <row r="485" ht="15.75" customHeight="1">
      <c r="A485" s="120"/>
      <c r="D485" s="104"/>
      <c r="F485" s="121"/>
    </row>
    <row r="486" ht="15.75" customHeight="1">
      <c r="A486" s="120"/>
      <c r="D486" s="104"/>
      <c r="F486" s="121"/>
    </row>
    <row r="487" ht="15.75" customHeight="1">
      <c r="A487" s="120"/>
      <c r="D487" s="104"/>
      <c r="F487" s="121"/>
    </row>
    <row r="488" ht="15.75" customHeight="1">
      <c r="A488" s="120"/>
      <c r="D488" s="104"/>
      <c r="F488" s="121"/>
    </row>
    <row r="489" ht="15.75" customHeight="1">
      <c r="A489" s="120"/>
      <c r="D489" s="104"/>
      <c r="F489" s="121"/>
    </row>
    <row r="490" ht="15.75" customHeight="1">
      <c r="A490" s="120"/>
      <c r="D490" s="104"/>
      <c r="F490" s="121"/>
    </row>
    <row r="491" ht="15.75" customHeight="1">
      <c r="A491" s="120"/>
      <c r="D491" s="104"/>
      <c r="F491" s="121"/>
    </row>
    <row r="492" ht="15.75" customHeight="1">
      <c r="A492" s="120"/>
      <c r="D492" s="104"/>
      <c r="F492" s="121"/>
    </row>
    <row r="493" ht="15.75" customHeight="1">
      <c r="A493" s="120"/>
      <c r="D493" s="104"/>
      <c r="F493" s="121"/>
    </row>
    <row r="494" ht="15.75" customHeight="1">
      <c r="A494" s="120"/>
      <c r="D494" s="104"/>
      <c r="F494" s="121"/>
    </row>
    <row r="495" ht="15.75" customHeight="1">
      <c r="A495" s="120"/>
      <c r="D495" s="104"/>
      <c r="F495" s="121"/>
    </row>
    <row r="496" ht="15.75" customHeight="1">
      <c r="A496" s="120"/>
      <c r="D496" s="104"/>
      <c r="F496" s="121"/>
    </row>
    <row r="497" ht="15.75" customHeight="1">
      <c r="A497" s="120"/>
      <c r="D497" s="104"/>
      <c r="F497" s="121"/>
    </row>
    <row r="498" ht="15.75" customHeight="1">
      <c r="A498" s="120"/>
      <c r="D498" s="104"/>
      <c r="F498" s="121"/>
    </row>
    <row r="499" ht="15.75" customHeight="1">
      <c r="A499" s="120"/>
      <c r="D499" s="104"/>
      <c r="F499" s="121"/>
    </row>
    <row r="500" ht="15.75" customHeight="1">
      <c r="A500" s="120"/>
      <c r="D500" s="104"/>
      <c r="F500" s="121"/>
    </row>
    <row r="501" ht="15.75" customHeight="1">
      <c r="A501" s="120"/>
      <c r="D501" s="104"/>
      <c r="F501" s="121"/>
    </row>
    <row r="502" ht="15.75" customHeight="1">
      <c r="A502" s="120"/>
      <c r="D502" s="104"/>
      <c r="F502" s="121"/>
    </row>
    <row r="503" ht="15.75" customHeight="1">
      <c r="A503" s="120"/>
      <c r="D503" s="104"/>
      <c r="F503" s="121"/>
    </row>
    <row r="504" ht="15.75" customHeight="1">
      <c r="A504" s="120"/>
      <c r="D504" s="104"/>
      <c r="F504" s="121"/>
    </row>
    <row r="505" ht="15.75" customHeight="1">
      <c r="A505" s="120"/>
      <c r="D505" s="104"/>
      <c r="F505" s="121"/>
    </row>
    <row r="506" ht="15.75" customHeight="1">
      <c r="A506" s="120"/>
      <c r="D506" s="104"/>
      <c r="F506" s="121"/>
    </row>
    <row r="507" ht="15.75" customHeight="1">
      <c r="A507" s="120"/>
      <c r="D507" s="104"/>
      <c r="F507" s="121"/>
    </row>
    <row r="508" ht="15.75" customHeight="1">
      <c r="A508" s="120"/>
      <c r="D508" s="104"/>
      <c r="F508" s="121"/>
    </row>
    <row r="509" ht="15.75" customHeight="1">
      <c r="A509" s="120"/>
      <c r="D509" s="104"/>
      <c r="F509" s="121"/>
    </row>
    <row r="510" ht="15.75" customHeight="1">
      <c r="A510" s="120"/>
      <c r="D510" s="104"/>
      <c r="F510" s="121"/>
    </row>
    <row r="511" ht="15.75" customHeight="1">
      <c r="A511" s="120"/>
      <c r="D511" s="104"/>
      <c r="F511" s="121"/>
    </row>
    <row r="512" ht="15.75" customHeight="1">
      <c r="A512" s="120"/>
      <c r="D512" s="104"/>
      <c r="F512" s="121"/>
    </row>
    <row r="513" ht="15.75" customHeight="1">
      <c r="A513" s="120"/>
      <c r="D513" s="104"/>
      <c r="F513" s="121"/>
    </row>
    <row r="514" ht="15.75" customHeight="1">
      <c r="A514" s="120"/>
      <c r="D514" s="104"/>
      <c r="F514" s="121"/>
    </row>
    <row r="515" ht="15.75" customHeight="1">
      <c r="A515" s="120"/>
      <c r="D515" s="104"/>
      <c r="F515" s="121"/>
    </row>
    <row r="516" ht="15.75" customHeight="1">
      <c r="A516" s="120"/>
      <c r="D516" s="104"/>
      <c r="F516" s="121"/>
    </row>
    <row r="517" ht="15.75" customHeight="1">
      <c r="A517" s="120"/>
      <c r="D517" s="104"/>
      <c r="F517" s="121"/>
    </row>
    <row r="518" ht="15.75" customHeight="1">
      <c r="A518" s="120"/>
      <c r="D518" s="104"/>
      <c r="F518" s="121"/>
    </row>
    <row r="519" ht="15.75" customHeight="1">
      <c r="A519" s="120"/>
      <c r="D519" s="104"/>
      <c r="F519" s="121"/>
    </row>
    <row r="520" ht="15.75" customHeight="1">
      <c r="A520" s="120"/>
      <c r="D520" s="104"/>
      <c r="F520" s="121"/>
    </row>
    <row r="521" ht="15.75" customHeight="1">
      <c r="A521" s="120"/>
      <c r="D521" s="104"/>
      <c r="F521" s="121"/>
    </row>
    <row r="522" ht="15.75" customHeight="1">
      <c r="A522" s="120"/>
      <c r="D522" s="104"/>
      <c r="F522" s="121"/>
    </row>
    <row r="523" ht="15.75" customHeight="1">
      <c r="A523" s="120"/>
      <c r="D523" s="104"/>
      <c r="F523" s="121"/>
    </row>
    <row r="524" ht="15.75" customHeight="1">
      <c r="A524" s="120"/>
      <c r="D524" s="104"/>
      <c r="F524" s="121"/>
    </row>
    <row r="525" ht="15.75" customHeight="1">
      <c r="A525" s="120"/>
      <c r="D525" s="104"/>
      <c r="F525" s="121"/>
    </row>
    <row r="526" ht="15.75" customHeight="1">
      <c r="A526" s="120"/>
      <c r="D526" s="104"/>
      <c r="F526" s="121"/>
    </row>
    <row r="527" ht="15.75" customHeight="1">
      <c r="A527" s="120"/>
      <c r="D527" s="104"/>
      <c r="F527" s="121"/>
    </row>
    <row r="528" ht="15.75" customHeight="1">
      <c r="A528" s="120"/>
      <c r="D528" s="104"/>
      <c r="F528" s="121"/>
    </row>
    <row r="529" ht="15.75" customHeight="1">
      <c r="A529" s="120"/>
      <c r="D529" s="104"/>
      <c r="F529" s="121"/>
    </row>
    <row r="530" ht="15.75" customHeight="1">
      <c r="A530" s="120"/>
      <c r="D530" s="104"/>
      <c r="F530" s="121"/>
    </row>
    <row r="531" ht="15.75" customHeight="1">
      <c r="A531" s="120"/>
      <c r="D531" s="104"/>
      <c r="F531" s="121"/>
    </row>
    <row r="532" ht="15.75" customHeight="1">
      <c r="A532" s="120"/>
      <c r="D532" s="104"/>
      <c r="F532" s="121"/>
    </row>
    <row r="533" ht="15.75" customHeight="1">
      <c r="A533" s="120"/>
      <c r="D533" s="104"/>
      <c r="F533" s="121"/>
    </row>
    <row r="534" ht="15.75" customHeight="1">
      <c r="A534" s="120"/>
      <c r="D534" s="104"/>
      <c r="F534" s="121"/>
    </row>
    <row r="535" ht="15.75" customHeight="1">
      <c r="A535" s="120"/>
      <c r="D535" s="104"/>
      <c r="F535" s="121"/>
    </row>
    <row r="536" ht="15.75" customHeight="1">
      <c r="A536" s="120"/>
      <c r="D536" s="104"/>
      <c r="F536" s="121"/>
    </row>
    <row r="537" ht="15.75" customHeight="1">
      <c r="A537" s="120"/>
      <c r="D537" s="104"/>
      <c r="F537" s="121"/>
    </row>
    <row r="538" ht="15.75" customHeight="1">
      <c r="A538" s="120"/>
      <c r="D538" s="104"/>
      <c r="F538" s="121"/>
    </row>
    <row r="539" ht="15.75" customHeight="1">
      <c r="A539" s="120"/>
      <c r="D539" s="104"/>
      <c r="F539" s="121"/>
    </row>
    <row r="540" ht="15.75" customHeight="1">
      <c r="A540" s="120"/>
      <c r="D540" s="104"/>
      <c r="F540" s="121"/>
    </row>
    <row r="541" ht="15.75" customHeight="1">
      <c r="A541" s="120"/>
      <c r="D541" s="104"/>
      <c r="F541" s="121"/>
    </row>
    <row r="542" ht="15.75" customHeight="1">
      <c r="A542" s="120"/>
      <c r="D542" s="104"/>
      <c r="F542" s="121"/>
    </row>
    <row r="543" ht="15.75" customHeight="1">
      <c r="A543" s="120"/>
      <c r="D543" s="104"/>
      <c r="F543" s="121"/>
    </row>
    <row r="544" ht="15.75" customHeight="1">
      <c r="A544" s="120"/>
      <c r="D544" s="104"/>
      <c r="F544" s="121"/>
    </row>
    <row r="545" ht="15.75" customHeight="1">
      <c r="A545" s="120"/>
      <c r="D545" s="104"/>
      <c r="F545" s="121"/>
    </row>
    <row r="546" ht="15.75" customHeight="1">
      <c r="A546" s="120"/>
      <c r="D546" s="104"/>
      <c r="F546" s="121"/>
    </row>
    <row r="547" ht="15.75" customHeight="1">
      <c r="A547" s="120"/>
      <c r="D547" s="104"/>
      <c r="F547" s="121"/>
    </row>
    <row r="548" ht="15.75" customHeight="1">
      <c r="A548" s="120"/>
      <c r="D548" s="104"/>
      <c r="F548" s="121"/>
    </row>
    <row r="549" ht="15.75" customHeight="1">
      <c r="A549" s="120"/>
      <c r="D549" s="104"/>
      <c r="F549" s="121"/>
    </row>
    <row r="550" ht="15.75" customHeight="1">
      <c r="A550" s="120"/>
      <c r="D550" s="104"/>
      <c r="F550" s="121"/>
    </row>
    <row r="551" ht="15.75" customHeight="1">
      <c r="A551" s="120"/>
      <c r="D551" s="104"/>
      <c r="F551" s="121"/>
    </row>
    <row r="552" ht="15.75" customHeight="1">
      <c r="A552" s="120"/>
      <c r="D552" s="104"/>
      <c r="F552" s="121"/>
    </row>
    <row r="553" ht="15.75" customHeight="1">
      <c r="A553" s="120"/>
      <c r="D553" s="104"/>
      <c r="F553" s="121"/>
    </row>
    <row r="554" ht="15.75" customHeight="1">
      <c r="A554" s="120"/>
      <c r="D554" s="104"/>
      <c r="F554" s="121"/>
    </row>
    <row r="555" ht="15.75" customHeight="1">
      <c r="A555" s="120"/>
      <c r="D555" s="104"/>
      <c r="F555" s="121"/>
    </row>
    <row r="556" ht="15.75" customHeight="1">
      <c r="A556" s="120"/>
      <c r="D556" s="104"/>
      <c r="F556" s="121"/>
    </row>
    <row r="557" ht="15.75" customHeight="1">
      <c r="A557" s="120"/>
      <c r="D557" s="104"/>
      <c r="F557" s="121"/>
    </row>
    <row r="558" ht="15.75" customHeight="1">
      <c r="A558" s="120"/>
      <c r="D558" s="104"/>
      <c r="F558" s="121"/>
    </row>
    <row r="559" ht="15.75" customHeight="1">
      <c r="A559" s="120"/>
      <c r="D559" s="104"/>
      <c r="F559" s="121"/>
    </row>
    <row r="560" ht="15.75" customHeight="1">
      <c r="A560" s="120"/>
      <c r="D560" s="104"/>
      <c r="F560" s="121"/>
    </row>
    <row r="561" ht="15.75" customHeight="1">
      <c r="A561" s="120"/>
      <c r="D561" s="104"/>
      <c r="F561" s="121"/>
    </row>
    <row r="562" ht="15.75" customHeight="1">
      <c r="A562" s="120"/>
      <c r="D562" s="104"/>
      <c r="F562" s="121"/>
    </row>
    <row r="563" ht="15.75" customHeight="1">
      <c r="A563" s="120"/>
      <c r="D563" s="104"/>
      <c r="F563" s="121"/>
    </row>
    <row r="564" ht="15.75" customHeight="1">
      <c r="A564" s="120"/>
      <c r="D564" s="104"/>
      <c r="F564" s="121"/>
    </row>
    <row r="565" ht="15.75" customHeight="1">
      <c r="A565" s="120"/>
      <c r="D565" s="104"/>
      <c r="F565" s="121"/>
    </row>
    <row r="566" ht="15.75" customHeight="1">
      <c r="A566" s="120"/>
      <c r="D566" s="104"/>
      <c r="F566" s="121"/>
    </row>
    <row r="567" ht="15.75" customHeight="1">
      <c r="A567" s="120"/>
      <c r="D567" s="104"/>
      <c r="F567" s="121"/>
    </row>
    <row r="568" ht="15.75" customHeight="1">
      <c r="A568" s="120"/>
      <c r="D568" s="104"/>
      <c r="F568" s="121"/>
    </row>
    <row r="569" ht="15.75" customHeight="1">
      <c r="A569" s="120"/>
      <c r="D569" s="104"/>
      <c r="F569" s="121"/>
    </row>
    <row r="570" ht="15.75" customHeight="1">
      <c r="A570" s="120"/>
      <c r="D570" s="104"/>
      <c r="F570" s="121"/>
    </row>
    <row r="571" ht="15.75" customHeight="1">
      <c r="A571" s="120"/>
      <c r="D571" s="104"/>
      <c r="F571" s="121"/>
    </row>
    <row r="572" ht="15.75" customHeight="1">
      <c r="A572" s="120"/>
      <c r="D572" s="104"/>
      <c r="F572" s="121"/>
    </row>
    <row r="573" ht="15.75" customHeight="1">
      <c r="A573" s="120"/>
      <c r="D573" s="104"/>
      <c r="F573" s="121"/>
    </row>
    <row r="574" ht="15.75" customHeight="1">
      <c r="A574" s="120"/>
      <c r="D574" s="104"/>
      <c r="F574" s="121"/>
    </row>
    <row r="575" ht="15.75" customHeight="1">
      <c r="A575" s="120"/>
      <c r="D575" s="104"/>
      <c r="F575" s="121"/>
    </row>
    <row r="576" ht="15.75" customHeight="1">
      <c r="A576" s="120"/>
      <c r="D576" s="104"/>
      <c r="F576" s="121"/>
    </row>
    <row r="577" ht="15.75" customHeight="1">
      <c r="A577" s="120"/>
      <c r="D577" s="104"/>
      <c r="F577" s="121"/>
    </row>
    <row r="578" ht="15.75" customHeight="1">
      <c r="A578" s="120"/>
      <c r="D578" s="104"/>
      <c r="F578" s="121"/>
    </row>
    <row r="579" ht="15.75" customHeight="1">
      <c r="A579" s="120"/>
      <c r="D579" s="104"/>
      <c r="F579" s="121"/>
    </row>
    <row r="580" ht="15.75" customHeight="1">
      <c r="A580" s="120"/>
      <c r="D580" s="104"/>
      <c r="F580" s="121"/>
    </row>
    <row r="581" ht="15.75" customHeight="1">
      <c r="A581" s="120"/>
      <c r="D581" s="104"/>
      <c r="F581" s="121"/>
    </row>
    <row r="582" ht="15.75" customHeight="1">
      <c r="A582" s="120"/>
      <c r="D582" s="104"/>
      <c r="F582" s="121"/>
    </row>
    <row r="583" ht="15.75" customHeight="1">
      <c r="A583" s="120"/>
      <c r="D583" s="104"/>
      <c r="F583" s="121"/>
    </row>
    <row r="584" ht="15.75" customHeight="1">
      <c r="A584" s="120"/>
      <c r="D584" s="104"/>
      <c r="F584" s="121"/>
    </row>
    <row r="585" ht="15.75" customHeight="1">
      <c r="A585" s="120"/>
      <c r="D585" s="104"/>
      <c r="F585" s="121"/>
    </row>
    <row r="586" ht="15.75" customHeight="1">
      <c r="A586" s="120"/>
      <c r="D586" s="104"/>
      <c r="F586" s="121"/>
    </row>
    <row r="587" ht="15.75" customHeight="1">
      <c r="A587" s="120"/>
      <c r="D587" s="104"/>
      <c r="F587" s="121"/>
    </row>
    <row r="588" ht="15.75" customHeight="1">
      <c r="A588" s="120"/>
      <c r="D588" s="104"/>
      <c r="F588" s="121"/>
    </row>
    <row r="589" ht="15.75" customHeight="1">
      <c r="A589" s="120"/>
      <c r="D589" s="104"/>
      <c r="F589" s="121"/>
    </row>
    <row r="590" ht="15.75" customHeight="1">
      <c r="A590" s="120"/>
      <c r="D590" s="104"/>
      <c r="F590" s="121"/>
    </row>
    <row r="591" ht="15.75" customHeight="1">
      <c r="A591" s="120"/>
      <c r="D591" s="104"/>
      <c r="F591" s="121"/>
    </row>
    <row r="592" ht="15.75" customHeight="1">
      <c r="A592" s="120"/>
      <c r="D592" s="104"/>
      <c r="F592" s="121"/>
    </row>
    <row r="593" ht="15.75" customHeight="1">
      <c r="A593" s="120"/>
      <c r="D593" s="104"/>
      <c r="F593" s="121"/>
    </row>
    <row r="594" ht="15.75" customHeight="1">
      <c r="A594" s="120"/>
      <c r="D594" s="104"/>
      <c r="F594" s="121"/>
    </row>
    <row r="595" ht="15.75" customHeight="1">
      <c r="A595" s="120"/>
      <c r="D595" s="104"/>
      <c r="F595" s="121"/>
    </row>
    <row r="596" ht="15.75" customHeight="1">
      <c r="A596" s="120"/>
      <c r="D596" s="104"/>
      <c r="F596" s="121"/>
    </row>
    <row r="597" ht="15.75" customHeight="1">
      <c r="A597" s="120"/>
      <c r="D597" s="104"/>
      <c r="F597" s="121"/>
    </row>
    <row r="598" ht="15.75" customHeight="1">
      <c r="A598" s="120"/>
      <c r="D598" s="104"/>
      <c r="F598" s="121"/>
    </row>
    <row r="599" ht="15.75" customHeight="1">
      <c r="A599" s="120"/>
      <c r="D599" s="104"/>
      <c r="F599" s="121"/>
    </row>
    <row r="600" ht="15.75" customHeight="1">
      <c r="A600" s="120"/>
      <c r="D600" s="104"/>
      <c r="F600" s="121"/>
    </row>
    <row r="601" ht="15.75" customHeight="1">
      <c r="A601" s="120"/>
      <c r="D601" s="104"/>
      <c r="F601" s="121"/>
    </row>
    <row r="602" ht="15.75" customHeight="1">
      <c r="A602" s="120"/>
      <c r="D602" s="104"/>
      <c r="F602" s="121"/>
    </row>
    <row r="603" ht="15.75" customHeight="1">
      <c r="A603" s="120"/>
      <c r="D603" s="104"/>
      <c r="F603" s="121"/>
    </row>
    <row r="604" ht="15.75" customHeight="1">
      <c r="A604" s="120"/>
      <c r="D604" s="104"/>
      <c r="F604" s="121"/>
    </row>
    <row r="605" ht="15.75" customHeight="1">
      <c r="A605" s="120"/>
      <c r="D605" s="104"/>
      <c r="F605" s="121"/>
    </row>
    <row r="606" ht="15.75" customHeight="1">
      <c r="A606" s="120"/>
      <c r="D606" s="104"/>
      <c r="F606" s="121"/>
    </row>
    <row r="607" ht="15.75" customHeight="1">
      <c r="A607" s="120"/>
      <c r="D607" s="104"/>
      <c r="F607" s="121"/>
    </row>
    <row r="608" ht="15.75" customHeight="1">
      <c r="A608" s="120"/>
      <c r="D608" s="104"/>
      <c r="F608" s="121"/>
    </row>
    <row r="609" ht="15.75" customHeight="1">
      <c r="A609" s="120"/>
      <c r="D609" s="104"/>
      <c r="F609" s="121"/>
    </row>
    <row r="610" ht="15.75" customHeight="1">
      <c r="A610" s="120"/>
      <c r="D610" s="104"/>
      <c r="F610" s="121"/>
    </row>
    <row r="611" ht="15.75" customHeight="1">
      <c r="A611" s="120"/>
      <c r="D611" s="104"/>
      <c r="F611" s="121"/>
    </row>
    <row r="612" ht="15.75" customHeight="1">
      <c r="A612" s="120"/>
      <c r="D612" s="104"/>
      <c r="F612" s="121"/>
    </row>
    <row r="613" ht="15.75" customHeight="1">
      <c r="A613" s="120"/>
      <c r="D613" s="104"/>
      <c r="F613" s="121"/>
    </row>
    <row r="614" ht="15.75" customHeight="1">
      <c r="A614" s="120"/>
      <c r="D614" s="104"/>
      <c r="F614" s="121"/>
    </row>
    <row r="615" ht="15.75" customHeight="1">
      <c r="A615" s="120"/>
      <c r="D615" s="104"/>
      <c r="F615" s="121"/>
    </row>
    <row r="616" ht="15.75" customHeight="1">
      <c r="A616" s="120"/>
      <c r="D616" s="104"/>
      <c r="F616" s="121"/>
    </row>
    <row r="617" ht="15.75" customHeight="1">
      <c r="A617" s="120"/>
      <c r="D617" s="104"/>
      <c r="F617" s="121"/>
    </row>
    <row r="618" ht="15.75" customHeight="1">
      <c r="A618" s="120"/>
      <c r="D618" s="104"/>
      <c r="F618" s="121"/>
    </row>
    <row r="619" ht="15.75" customHeight="1">
      <c r="A619" s="120"/>
      <c r="D619" s="104"/>
      <c r="F619" s="121"/>
    </row>
    <row r="620" ht="15.75" customHeight="1">
      <c r="A620" s="120"/>
      <c r="D620" s="104"/>
      <c r="F620" s="121"/>
    </row>
    <row r="621" ht="15.75" customHeight="1">
      <c r="A621" s="120"/>
      <c r="D621" s="104"/>
      <c r="F621" s="121"/>
    </row>
    <row r="622" ht="15.75" customHeight="1">
      <c r="A622" s="120"/>
      <c r="D622" s="104"/>
      <c r="F622" s="121"/>
    </row>
    <row r="623" ht="15.75" customHeight="1">
      <c r="A623" s="120"/>
      <c r="D623" s="104"/>
      <c r="F623" s="121"/>
    </row>
    <row r="624" ht="15.75" customHeight="1">
      <c r="A624" s="120"/>
      <c r="D624" s="104"/>
      <c r="F624" s="121"/>
    </row>
    <row r="625" ht="15.75" customHeight="1">
      <c r="A625" s="120"/>
      <c r="D625" s="104"/>
      <c r="F625" s="121"/>
    </row>
    <row r="626" ht="15.75" customHeight="1">
      <c r="A626" s="120"/>
      <c r="D626" s="104"/>
      <c r="F626" s="121"/>
    </row>
    <row r="627" ht="15.75" customHeight="1">
      <c r="A627" s="120"/>
      <c r="D627" s="104"/>
      <c r="F627" s="121"/>
    </row>
    <row r="628" ht="15.75" customHeight="1">
      <c r="A628" s="120"/>
      <c r="D628" s="104"/>
      <c r="F628" s="121"/>
    </row>
    <row r="629" ht="15.75" customHeight="1">
      <c r="A629" s="120"/>
      <c r="D629" s="104"/>
      <c r="F629" s="121"/>
    </row>
    <row r="630" ht="15.75" customHeight="1">
      <c r="A630" s="120"/>
      <c r="D630" s="104"/>
      <c r="F630" s="121"/>
    </row>
    <row r="631" ht="15.75" customHeight="1">
      <c r="A631" s="120"/>
      <c r="D631" s="104"/>
      <c r="F631" s="121"/>
    </row>
    <row r="632" ht="15.75" customHeight="1">
      <c r="A632" s="120"/>
      <c r="D632" s="104"/>
      <c r="F632" s="121"/>
    </row>
    <row r="633" ht="15.75" customHeight="1">
      <c r="A633" s="120"/>
      <c r="D633" s="104"/>
      <c r="F633" s="121"/>
    </row>
    <row r="634" ht="15.75" customHeight="1">
      <c r="A634" s="120"/>
      <c r="D634" s="104"/>
      <c r="F634" s="121"/>
    </row>
    <row r="635" ht="15.75" customHeight="1">
      <c r="A635" s="120"/>
      <c r="D635" s="104"/>
      <c r="F635" s="121"/>
    </row>
    <row r="636" ht="15.75" customHeight="1">
      <c r="A636" s="120"/>
      <c r="D636" s="104"/>
      <c r="F636" s="121"/>
    </row>
    <row r="637" ht="15.75" customHeight="1">
      <c r="A637" s="120"/>
      <c r="D637" s="104"/>
      <c r="F637" s="121"/>
    </row>
    <row r="638" ht="15.75" customHeight="1">
      <c r="A638" s="120"/>
      <c r="D638" s="104"/>
      <c r="F638" s="121"/>
    </row>
    <row r="639" ht="15.75" customHeight="1">
      <c r="A639" s="120"/>
      <c r="D639" s="104"/>
      <c r="F639" s="121"/>
    </row>
    <row r="640" ht="15.75" customHeight="1">
      <c r="A640" s="120"/>
      <c r="D640" s="104"/>
      <c r="F640" s="121"/>
    </row>
    <row r="641" ht="15.75" customHeight="1">
      <c r="A641" s="120"/>
      <c r="D641" s="104"/>
      <c r="F641" s="121"/>
    </row>
    <row r="642" ht="15.75" customHeight="1">
      <c r="A642" s="120"/>
      <c r="D642" s="104"/>
      <c r="F642" s="121"/>
    </row>
    <row r="643" ht="15.75" customHeight="1">
      <c r="A643" s="120"/>
      <c r="D643" s="104"/>
      <c r="F643" s="121"/>
    </row>
    <row r="644" ht="15.75" customHeight="1">
      <c r="A644" s="120"/>
      <c r="D644" s="104"/>
      <c r="F644" s="121"/>
    </row>
    <row r="645" ht="15.75" customHeight="1">
      <c r="A645" s="120"/>
      <c r="D645" s="104"/>
      <c r="F645" s="121"/>
    </row>
    <row r="646" ht="15.75" customHeight="1">
      <c r="A646" s="120"/>
      <c r="D646" s="104"/>
      <c r="F646" s="121"/>
    </row>
    <row r="647" ht="15.75" customHeight="1">
      <c r="A647" s="120"/>
      <c r="D647" s="104"/>
      <c r="F647" s="121"/>
    </row>
    <row r="648" ht="15.75" customHeight="1">
      <c r="A648" s="120"/>
      <c r="D648" s="104"/>
      <c r="F648" s="121"/>
    </row>
    <row r="649" ht="15.75" customHeight="1">
      <c r="A649" s="120"/>
      <c r="D649" s="104"/>
      <c r="F649" s="121"/>
    </row>
    <row r="650" ht="15.75" customHeight="1">
      <c r="A650" s="120"/>
      <c r="D650" s="104"/>
      <c r="F650" s="121"/>
    </row>
    <row r="651" ht="15.75" customHeight="1">
      <c r="A651" s="120"/>
      <c r="D651" s="104"/>
      <c r="F651" s="121"/>
    </row>
    <row r="652" ht="15.75" customHeight="1">
      <c r="A652" s="120"/>
      <c r="D652" s="104"/>
      <c r="F652" s="121"/>
    </row>
    <row r="653" ht="15.75" customHeight="1">
      <c r="A653" s="120"/>
      <c r="D653" s="104"/>
      <c r="F653" s="121"/>
    </row>
    <row r="654" ht="15.75" customHeight="1">
      <c r="A654" s="120"/>
      <c r="D654" s="104"/>
      <c r="F654" s="121"/>
    </row>
    <row r="655" ht="15.75" customHeight="1">
      <c r="A655" s="120"/>
      <c r="D655" s="104"/>
      <c r="F655" s="121"/>
    </row>
    <row r="656" ht="15.75" customHeight="1">
      <c r="A656" s="120"/>
      <c r="D656" s="104"/>
      <c r="F656" s="121"/>
    </row>
    <row r="657" ht="15.75" customHeight="1">
      <c r="A657" s="120"/>
      <c r="D657" s="104"/>
      <c r="F657" s="121"/>
    </row>
    <row r="658" ht="15.75" customHeight="1">
      <c r="A658" s="120"/>
      <c r="D658" s="104"/>
      <c r="F658" s="121"/>
    </row>
    <row r="659" ht="15.75" customHeight="1">
      <c r="A659" s="120"/>
      <c r="D659" s="104"/>
      <c r="F659" s="121"/>
    </row>
    <row r="660" ht="15.75" customHeight="1">
      <c r="A660" s="120"/>
      <c r="D660" s="104"/>
      <c r="F660" s="121"/>
    </row>
    <row r="661" ht="15.75" customHeight="1">
      <c r="A661" s="120"/>
      <c r="D661" s="104"/>
      <c r="F661" s="121"/>
    </row>
    <row r="662" ht="15.75" customHeight="1">
      <c r="A662" s="120"/>
      <c r="D662" s="104"/>
      <c r="F662" s="121"/>
    </row>
    <row r="663" ht="15.75" customHeight="1">
      <c r="A663" s="120"/>
      <c r="D663" s="104"/>
      <c r="F663" s="121"/>
    </row>
    <row r="664" ht="15.75" customHeight="1">
      <c r="A664" s="120"/>
      <c r="D664" s="104"/>
      <c r="F664" s="121"/>
    </row>
    <row r="665" ht="15.75" customHeight="1">
      <c r="A665" s="120"/>
      <c r="D665" s="104"/>
      <c r="F665" s="121"/>
    </row>
    <row r="666" ht="15.75" customHeight="1">
      <c r="A666" s="120"/>
      <c r="D666" s="104"/>
      <c r="F666" s="121"/>
    </row>
    <row r="667" ht="15.75" customHeight="1">
      <c r="A667" s="120"/>
      <c r="D667" s="104"/>
      <c r="F667" s="121"/>
    </row>
    <row r="668" ht="15.75" customHeight="1">
      <c r="A668" s="120"/>
      <c r="D668" s="104"/>
      <c r="F668" s="121"/>
    </row>
    <row r="669" ht="15.75" customHeight="1">
      <c r="A669" s="120"/>
      <c r="D669" s="104"/>
      <c r="F669" s="121"/>
    </row>
    <row r="670" ht="15.75" customHeight="1">
      <c r="A670" s="120"/>
      <c r="D670" s="104"/>
      <c r="F670" s="121"/>
    </row>
    <row r="671" ht="15.75" customHeight="1">
      <c r="A671" s="120"/>
      <c r="D671" s="104"/>
      <c r="F671" s="121"/>
    </row>
    <row r="672" ht="15.75" customHeight="1">
      <c r="A672" s="120"/>
      <c r="D672" s="104"/>
      <c r="F672" s="121"/>
    </row>
    <row r="673" ht="15.75" customHeight="1">
      <c r="A673" s="120"/>
      <c r="D673" s="104"/>
      <c r="F673" s="121"/>
    </row>
    <row r="674" ht="15.75" customHeight="1">
      <c r="A674" s="120"/>
      <c r="D674" s="104"/>
      <c r="F674" s="121"/>
    </row>
    <row r="675" ht="15.75" customHeight="1">
      <c r="A675" s="120"/>
      <c r="D675" s="104"/>
      <c r="F675" s="121"/>
    </row>
    <row r="676" ht="15.75" customHeight="1">
      <c r="A676" s="120"/>
      <c r="D676" s="104"/>
      <c r="F676" s="121"/>
    </row>
    <row r="677" ht="15.75" customHeight="1">
      <c r="A677" s="120"/>
      <c r="D677" s="104"/>
      <c r="F677" s="121"/>
    </row>
    <row r="678" ht="15.75" customHeight="1">
      <c r="A678" s="120"/>
      <c r="D678" s="104"/>
      <c r="F678" s="121"/>
    </row>
    <row r="679" ht="15.75" customHeight="1">
      <c r="A679" s="120"/>
      <c r="D679" s="104"/>
      <c r="F679" s="121"/>
    </row>
    <row r="680" ht="15.75" customHeight="1">
      <c r="A680" s="120"/>
      <c r="D680" s="104"/>
      <c r="F680" s="121"/>
    </row>
    <row r="681" ht="15.75" customHeight="1">
      <c r="A681" s="120"/>
      <c r="D681" s="104"/>
      <c r="F681" s="121"/>
    </row>
    <row r="682" ht="15.75" customHeight="1">
      <c r="A682" s="120"/>
      <c r="D682" s="104"/>
      <c r="F682" s="121"/>
    </row>
    <row r="683" ht="15.75" customHeight="1">
      <c r="A683" s="120"/>
      <c r="D683" s="104"/>
      <c r="F683" s="121"/>
    </row>
    <row r="684" ht="15.75" customHeight="1">
      <c r="A684" s="120"/>
      <c r="D684" s="104"/>
      <c r="F684" s="121"/>
    </row>
    <row r="685" ht="15.75" customHeight="1">
      <c r="A685" s="120"/>
      <c r="D685" s="104"/>
      <c r="F685" s="121"/>
    </row>
    <row r="686" ht="15.75" customHeight="1">
      <c r="A686" s="120"/>
      <c r="D686" s="104"/>
      <c r="F686" s="121"/>
    </row>
    <row r="687" ht="15.75" customHeight="1">
      <c r="A687" s="120"/>
      <c r="D687" s="104"/>
      <c r="F687" s="121"/>
    </row>
    <row r="688" ht="15.75" customHeight="1">
      <c r="A688" s="120"/>
      <c r="D688" s="104"/>
      <c r="F688" s="121"/>
    </row>
    <row r="689" ht="15.75" customHeight="1">
      <c r="A689" s="120"/>
      <c r="D689" s="104"/>
      <c r="F689" s="121"/>
    </row>
    <row r="690" ht="15.75" customHeight="1">
      <c r="A690" s="120"/>
      <c r="D690" s="104"/>
      <c r="F690" s="121"/>
    </row>
    <row r="691" ht="15.75" customHeight="1">
      <c r="A691" s="120"/>
      <c r="D691" s="104"/>
      <c r="F691" s="121"/>
    </row>
    <row r="692" ht="15.75" customHeight="1">
      <c r="A692" s="120"/>
      <c r="D692" s="104"/>
      <c r="F692" s="121"/>
    </row>
    <row r="693" ht="15.75" customHeight="1">
      <c r="A693" s="120"/>
      <c r="D693" s="104"/>
      <c r="F693" s="121"/>
    </row>
    <row r="694" ht="15.75" customHeight="1">
      <c r="A694" s="120"/>
      <c r="D694" s="104"/>
      <c r="F694" s="121"/>
    </row>
    <row r="695" ht="15.75" customHeight="1">
      <c r="A695" s="120"/>
      <c r="D695" s="104"/>
      <c r="F695" s="121"/>
    </row>
    <row r="696" ht="15.75" customHeight="1">
      <c r="A696" s="120"/>
      <c r="D696" s="104"/>
      <c r="F696" s="121"/>
    </row>
    <row r="697" ht="15.75" customHeight="1">
      <c r="A697" s="120"/>
      <c r="D697" s="104"/>
      <c r="F697" s="121"/>
    </row>
    <row r="698" ht="15.75" customHeight="1">
      <c r="A698" s="120"/>
      <c r="D698" s="104"/>
      <c r="F698" s="121"/>
    </row>
    <row r="699" ht="15.75" customHeight="1">
      <c r="A699" s="120"/>
      <c r="D699" s="104"/>
      <c r="F699" s="121"/>
    </row>
    <row r="700" ht="15.75" customHeight="1">
      <c r="A700" s="120"/>
      <c r="D700" s="104"/>
      <c r="F700" s="121"/>
    </row>
    <row r="701" ht="15.75" customHeight="1">
      <c r="A701" s="120"/>
      <c r="D701" s="104"/>
      <c r="F701" s="121"/>
    </row>
    <row r="702" ht="15.75" customHeight="1">
      <c r="A702" s="120"/>
      <c r="D702" s="104"/>
      <c r="F702" s="121"/>
    </row>
    <row r="703" ht="15.75" customHeight="1">
      <c r="A703" s="120"/>
      <c r="D703" s="104"/>
      <c r="F703" s="121"/>
    </row>
    <row r="704" ht="15.75" customHeight="1">
      <c r="A704" s="120"/>
      <c r="D704" s="104"/>
      <c r="F704" s="121"/>
    </row>
    <row r="705" ht="15.75" customHeight="1">
      <c r="A705" s="120"/>
      <c r="D705" s="104"/>
      <c r="F705" s="121"/>
    </row>
    <row r="706" ht="15.75" customHeight="1">
      <c r="A706" s="120"/>
      <c r="D706" s="104"/>
      <c r="F706" s="121"/>
    </row>
    <row r="707" ht="15.75" customHeight="1">
      <c r="A707" s="120"/>
      <c r="D707" s="104"/>
      <c r="F707" s="121"/>
    </row>
    <row r="708" ht="15.75" customHeight="1">
      <c r="A708" s="120"/>
      <c r="D708" s="104"/>
      <c r="F708" s="121"/>
    </row>
    <row r="709" ht="15.75" customHeight="1">
      <c r="A709" s="120"/>
      <c r="D709" s="104"/>
      <c r="F709" s="121"/>
    </row>
    <row r="710" ht="15.75" customHeight="1">
      <c r="A710" s="120"/>
      <c r="D710" s="104"/>
      <c r="F710" s="121"/>
    </row>
    <row r="711" ht="15.75" customHeight="1">
      <c r="A711" s="120"/>
      <c r="D711" s="104"/>
      <c r="F711" s="121"/>
    </row>
    <row r="712" ht="15.75" customHeight="1">
      <c r="A712" s="120"/>
      <c r="D712" s="104"/>
      <c r="F712" s="121"/>
    </row>
    <row r="713" ht="15.75" customHeight="1">
      <c r="A713" s="120"/>
      <c r="D713" s="104"/>
      <c r="F713" s="121"/>
    </row>
    <row r="714" ht="15.75" customHeight="1">
      <c r="A714" s="120"/>
      <c r="D714" s="104"/>
      <c r="F714" s="121"/>
    </row>
    <row r="715" ht="15.75" customHeight="1">
      <c r="A715" s="120"/>
      <c r="D715" s="104"/>
      <c r="F715" s="121"/>
    </row>
    <row r="716" ht="15.75" customHeight="1">
      <c r="A716" s="120"/>
      <c r="D716" s="104"/>
      <c r="F716" s="121"/>
    </row>
    <row r="717" ht="15.75" customHeight="1">
      <c r="A717" s="120"/>
      <c r="D717" s="104"/>
      <c r="F717" s="121"/>
    </row>
    <row r="718" ht="15.75" customHeight="1">
      <c r="A718" s="120"/>
      <c r="D718" s="104"/>
      <c r="F718" s="121"/>
    </row>
    <row r="719" ht="15.75" customHeight="1">
      <c r="A719" s="120"/>
      <c r="D719" s="104"/>
      <c r="F719" s="121"/>
    </row>
    <row r="720" ht="15.75" customHeight="1">
      <c r="A720" s="120"/>
      <c r="D720" s="104"/>
      <c r="F720" s="121"/>
    </row>
    <row r="721" ht="15.75" customHeight="1">
      <c r="A721" s="120"/>
      <c r="D721" s="104"/>
      <c r="F721" s="121"/>
    </row>
    <row r="722" ht="15.75" customHeight="1">
      <c r="A722" s="120"/>
      <c r="D722" s="104"/>
      <c r="F722" s="121"/>
    </row>
    <row r="723" ht="15.75" customHeight="1">
      <c r="A723" s="120"/>
      <c r="D723" s="104"/>
      <c r="F723" s="121"/>
    </row>
    <row r="724" ht="15.75" customHeight="1">
      <c r="A724" s="120"/>
      <c r="D724" s="104"/>
      <c r="F724" s="121"/>
    </row>
    <row r="725" ht="15.75" customHeight="1">
      <c r="A725" s="120"/>
      <c r="D725" s="104"/>
      <c r="F725" s="121"/>
    </row>
    <row r="726" ht="15.75" customHeight="1">
      <c r="A726" s="120"/>
      <c r="D726" s="104"/>
      <c r="F726" s="121"/>
    </row>
    <row r="727" ht="15.75" customHeight="1">
      <c r="A727" s="120"/>
      <c r="D727" s="104"/>
      <c r="F727" s="121"/>
    </row>
    <row r="728" ht="15.75" customHeight="1">
      <c r="A728" s="120"/>
      <c r="D728" s="104"/>
      <c r="F728" s="121"/>
    </row>
    <row r="729" ht="15.75" customHeight="1">
      <c r="A729" s="120"/>
      <c r="D729" s="104"/>
      <c r="F729" s="121"/>
    </row>
    <row r="730" ht="15.75" customHeight="1">
      <c r="A730" s="120"/>
      <c r="D730" s="104"/>
      <c r="F730" s="121"/>
    </row>
    <row r="731" ht="15.75" customHeight="1">
      <c r="A731" s="120"/>
      <c r="D731" s="104"/>
      <c r="F731" s="121"/>
    </row>
    <row r="732" ht="15.75" customHeight="1">
      <c r="A732" s="120"/>
      <c r="D732" s="104"/>
      <c r="F732" s="121"/>
    </row>
    <row r="733" ht="15.75" customHeight="1">
      <c r="A733" s="120"/>
      <c r="D733" s="104"/>
      <c r="F733" s="121"/>
    </row>
    <row r="734" ht="15.75" customHeight="1">
      <c r="A734" s="120"/>
      <c r="D734" s="104"/>
      <c r="F734" s="121"/>
    </row>
    <row r="735" ht="15.75" customHeight="1">
      <c r="A735" s="120"/>
      <c r="D735" s="104"/>
      <c r="F735" s="121"/>
    </row>
    <row r="736" ht="15.75" customHeight="1">
      <c r="A736" s="120"/>
      <c r="D736" s="104"/>
      <c r="F736" s="121"/>
    </row>
    <row r="737" ht="15.75" customHeight="1">
      <c r="A737" s="120"/>
      <c r="D737" s="104"/>
      <c r="F737" s="121"/>
    </row>
    <row r="738" ht="15.75" customHeight="1">
      <c r="A738" s="120"/>
      <c r="D738" s="104"/>
      <c r="F738" s="121"/>
    </row>
    <row r="739" ht="15.75" customHeight="1">
      <c r="A739" s="120"/>
      <c r="D739" s="104"/>
      <c r="F739" s="121"/>
    </row>
    <row r="740" ht="15.75" customHeight="1">
      <c r="A740" s="120"/>
      <c r="D740" s="104"/>
      <c r="F740" s="121"/>
    </row>
    <row r="741" ht="15.75" customHeight="1">
      <c r="A741" s="120"/>
      <c r="D741" s="104"/>
      <c r="F741" s="121"/>
    </row>
    <row r="742" ht="15.75" customHeight="1">
      <c r="A742" s="120"/>
      <c r="D742" s="104"/>
      <c r="F742" s="121"/>
    </row>
    <row r="743" ht="15.75" customHeight="1">
      <c r="A743" s="120"/>
      <c r="D743" s="104"/>
      <c r="F743" s="121"/>
    </row>
    <row r="744" ht="15.75" customHeight="1">
      <c r="A744" s="120"/>
      <c r="D744" s="104"/>
      <c r="F744" s="121"/>
    </row>
    <row r="745" ht="15.75" customHeight="1">
      <c r="A745" s="120"/>
      <c r="D745" s="104"/>
      <c r="F745" s="121"/>
    </row>
    <row r="746" ht="15.75" customHeight="1">
      <c r="A746" s="120"/>
      <c r="D746" s="104"/>
      <c r="F746" s="121"/>
    </row>
    <row r="747" ht="15.75" customHeight="1">
      <c r="A747" s="120"/>
      <c r="D747" s="104"/>
      <c r="F747" s="121"/>
    </row>
    <row r="748" ht="15.75" customHeight="1">
      <c r="A748" s="120"/>
      <c r="D748" s="104"/>
      <c r="F748" s="121"/>
    </row>
    <row r="749" ht="15.75" customHeight="1">
      <c r="A749" s="120"/>
      <c r="D749" s="104"/>
      <c r="F749" s="121"/>
    </row>
    <row r="750" ht="15.75" customHeight="1">
      <c r="A750" s="120"/>
      <c r="D750" s="104"/>
      <c r="F750" s="121"/>
    </row>
    <row r="751" ht="15.75" customHeight="1">
      <c r="A751" s="120"/>
      <c r="D751" s="104"/>
      <c r="F751" s="121"/>
    </row>
    <row r="752" ht="15.75" customHeight="1">
      <c r="A752" s="120"/>
      <c r="D752" s="104"/>
      <c r="F752" s="121"/>
    </row>
    <row r="753" ht="15.75" customHeight="1">
      <c r="A753" s="120"/>
      <c r="D753" s="104"/>
      <c r="F753" s="121"/>
    </row>
    <row r="754" ht="15.75" customHeight="1">
      <c r="A754" s="120"/>
      <c r="D754" s="104"/>
      <c r="F754" s="121"/>
    </row>
    <row r="755" ht="15.75" customHeight="1">
      <c r="A755" s="120"/>
      <c r="D755" s="104"/>
      <c r="F755" s="121"/>
    </row>
    <row r="756" ht="15.75" customHeight="1">
      <c r="A756" s="120"/>
      <c r="D756" s="104"/>
      <c r="F756" s="121"/>
    </row>
    <row r="757" ht="15.75" customHeight="1">
      <c r="A757" s="120"/>
      <c r="D757" s="104"/>
      <c r="F757" s="121"/>
    </row>
    <row r="758" ht="15.75" customHeight="1">
      <c r="A758" s="120"/>
      <c r="D758" s="104"/>
      <c r="F758" s="121"/>
    </row>
    <row r="759" ht="15.75" customHeight="1">
      <c r="A759" s="120"/>
      <c r="D759" s="104"/>
      <c r="F759" s="121"/>
    </row>
    <row r="760" ht="15.75" customHeight="1">
      <c r="A760" s="120"/>
      <c r="D760" s="104"/>
      <c r="F760" s="121"/>
    </row>
    <row r="761" ht="15.75" customHeight="1">
      <c r="A761" s="120"/>
      <c r="D761" s="104"/>
      <c r="F761" s="121"/>
    </row>
    <row r="762" ht="15.75" customHeight="1">
      <c r="A762" s="120"/>
      <c r="D762" s="104"/>
      <c r="F762" s="121"/>
    </row>
    <row r="763" ht="15.75" customHeight="1">
      <c r="A763" s="120"/>
      <c r="D763" s="104"/>
      <c r="F763" s="121"/>
    </row>
    <row r="764" ht="15.75" customHeight="1">
      <c r="A764" s="120"/>
      <c r="D764" s="104"/>
      <c r="F764" s="121"/>
    </row>
    <row r="765" ht="15.75" customHeight="1">
      <c r="A765" s="120"/>
      <c r="D765" s="104"/>
      <c r="F765" s="121"/>
    </row>
    <row r="766" ht="15.75" customHeight="1">
      <c r="A766" s="120"/>
      <c r="D766" s="104"/>
      <c r="F766" s="121"/>
    </row>
    <row r="767" ht="15.75" customHeight="1">
      <c r="A767" s="120"/>
      <c r="D767" s="104"/>
      <c r="F767" s="121"/>
    </row>
    <row r="768" ht="15.75" customHeight="1">
      <c r="A768" s="120"/>
      <c r="D768" s="104"/>
      <c r="F768" s="121"/>
    </row>
    <row r="769" ht="15.75" customHeight="1">
      <c r="A769" s="120"/>
      <c r="D769" s="104"/>
      <c r="F769" s="121"/>
    </row>
    <row r="770" ht="15.75" customHeight="1">
      <c r="A770" s="120"/>
      <c r="D770" s="104"/>
      <c r="F770" s="121"/>
    </row>
    <row r="771" ht="15.75" customHeight="1">
      <c r="A771" s="120"/>
      <c r="D771" s="104"/>
      <c r="F771" s="121"/>
    </row>
    <row r="772" ht="15.75" customHeight="1">
      <c r="A772" s="120"/>
      <c r="D772" s="104"/>
      <c r="F772" s="121"/>
    </row>
    <row r="773" ht="15.75" customHeight="1">
      <c r="A773" s="120"/>
      <c r="D773" s="104"/>
      <c r="F773" s="121"/>
    </row>
    <row r="774" ht="15.75" customHeight="1">
      <c r="A774" s="120"/>
      <c r="D774" s="104"/>
      <c r="F774" s="121"/>
    </row>
    <row r="775" ht="15.75" customHeight="1">
      <c r="A775" s="120"/>
      <c r="D775" s="104"/>
      <c r="F775" s="121"/>
    </row>
    <row r="776" ht="15.75" customHeight="1">
      <c r="A776" s="120"/>
      <c r="D776" s="104"/>
      <c r="F776" s="121"/>
    </row>
    <row r="777" ht="15.75" customHeight="1">
      <c r="A777" s="120"/>
      <c r="D777" s="104"/>
      <c r="F777" s="121"/>
    </row>
    <row r="778" ht="15.75" customHeight="1">
      <c r="A778" s="120"/>
      <c r="D778" s="104"/>
      <c r="F778" s="121"/>
    </row>
    <row r="779" ht="15.75" customHeight="1">
      <c r="A779" s="120"/>
      <c r="D779" s="104"/>
      <c r="F779" s="121"/>
    </row>
    <row r="780" ht="15.75" customHeight="1">
      <c r="A780" s="120"/>
      <c r="D780" s="104"/>
      <c r="F780" s="121"/>
    </row>
    <row r="781" ht="15.75" customHeight="1">
      <c r="A781" s="120"/>
      <c r="D781" s="104"/>
      <c r="F781" s="121"/>
    </row>
    <row r="782" ht="15.75" customHeight="1">
      <c r="A782" s="120"/>
      <c r="D782" s="104"/>
      <c r="F782" s="121"/>
    </row>
    <row r="783" ht="15.75" customHeight="1">
      <c r="A783" s="120"/>
      <c r="D783" s="104"/>
      <c r="F783" s="121"/>
    </row>
    <row r="784" ht="15.75" customHeight="1">
      <c r="A784" s="120"/>
      <c r="D784" s="104"/>
      <c r="F784" s="121"/>
    </row>
    <row r="785" ht="15.75" customHeight="1">
      <c r="A785" s="120"/>
      <c r="D785" s="104"/>
      <c r="F785" s="121"/>
    </row>
    <row r="786" ht="15.75" customHeight="1">
      <c r="A786" s="120"/>
      <c r="D786" s="104"/>
      <c r="F786" s="121"/>
    </row>
    <row r="787" ht="15.75" customHeight="1">
      <c r="A787" s="120"/>
      <c r="D787" s="104"/>
      <c r="F787" s="121"/>
    </row>
    <row r="788" ht="15.75" customHeight="1">
      <c r="A788" s="120"/>
      <c r="D788" s="104"/>
      <c r="F788" s="121"/>
    </row>
    <row r="789" ht="15.75" customHeight="1">
      <c r="A789" s="120"/>
      <c r="D789" s="104"/>
      <c r="F789" s="121"/>
    </row>
    <row r="790" ht="15.75" customHeight="1">
      <c r="A790" s="120"/>
      <c r="D790" s="104"/>
      <c r="F790" s="121"/>
    </row>
    <row r="791" ht="15.75" customHeight="1">
      <c r="A791" s="120"/>
      <c r="D791" s="104"/>
      <c r="F791" s="121"/>
    </row>
    <row r="792" ht="15.75" customHeight="1">
      <c r="A792" s="120"/>
      <c r="D792" s="104"/>
      <c r="F792" s="121"/>
    </row>
    <row r="793" ht="15.75" customHeight="1">
      <c r="A793" s="120"/>
      <c r="D793" s="104"/>
      <c r="F793" s="121"/>
    </row>
    <row r="794" ht="15.75" customHeight="1">
      <c r="A794" s="120"/>
      <c r="D794" s="104"/>
      <c r="F794" s="121"/>
    </row>
    <row r="795" ht="15.75" customHeight="1">
      <c r="A795" s="120"/>
      <c r="D795" s="104"/>
      <c r="F795" s="121"/>
    </row>
    <row r="796" ht="15.75" customHeight="1">
      <c r="A796" s="120"/>
      <c r="D796" s="104"/>
      <c r="F796" s="121"/>
    </row>
    <row r="797" ht="15.75" customHeight="1">
      <c r="A797" s="120"/>
      <c r="D797" s="104"/>
      <c r="F797" s="121"/>
    </row>
    <row r="798" ht="15.75" customHeight="1">
      <c r="A798" s="120"/>
      <c r="D798" s="104"/>
      <c r="F798" s="121"/>
    </row>
    <row r="799" ht="15.75" customHeight="1">
      <c r="A799" s="120"/>
      <c r="D799" s="104"/>
      <c r="F799" s="121"/>
    </row>
    <row r="800" ht="15.75" customHeight="1">
      <c r="A800" s="120"/>
      <c r="D800" s="104"/>
      <c r="F800" s="121"/>
    </row>
    <row r="801" ht="15.75" customHeight="1">
      <c r="A801" s="120"/>
      <c r="D801" s="104"/>
      <c r="F801" s="121"/>
    </row>
    <row r="802" ht="15.75" customHeight="1">
      <c r="A802" s="120"/>
      <c r="D802" s="104"/>
      <c r="F802" s="121"/>
    </row>
    <row r="803" ht="15.75" customHeight="1">
      <c r="A803" s="120"/>
      <c r="D803" s="104"/>
      <c r="F803" s="121"/>
    </row>
    <row r="804" ht="15.75" customHeight="1">
      <c r="A804" s="120"/>
      <c r="D804" s="104"/>
      <c r="F804" s="121"/>
    </row>
    <row r="805" ht="15.75" customHeight="1">
      <c r="A805" s="120"/>
      <c r="D805" s="104"/>
      <c r="F805" s="121"/>
    </row>
    <row r="806" ht="15.75" customHeight="1">
      <c r="A806" s="120"/>
      <c r="D806" s="104"/>
      <c r="F806" s="121"/>
    </row>
    <row r="807" ht="15.75" customHeight="1">
      <c r="A807" s="120"/>
      <c r="D807" s="104"/>
      <c r="F807" s="121"/>
    </row>
    <row r="808" ht="15.75" customHeight="1">
      <c r="A808" s="120"/>
      <c r="D808" s="104"/>
      <c r="F808" s="121"/>
    </row>
    <row r="809" ht="15.75" customHeight="1">
      <c r="A809" s="120"/>
      <c r="D809" s="104"/>
      <c r="F809" s="121"/>
    </row>
    <row r="810" ht="15.75" customHeight="1">
      <c r="A810" s="120"/>
      <c r="D810" s="104"/>
      <c r="F810" s="121"/>
    </row>
    <row r="811" ht="15.75" customHeight="1">
      <c r="A811" s="120"/>
      <c r="D811" s="104"/>
      <c r="F811" s="121"/>
    </row>
    <row r="812" ht="15.75" customHeight="1">
      <c r="A812" s="120"/>
      <c r="D812" s="104"/>
      <c r="F812" s="121"/>
    </row>
    <row r="813" ht="15.75" customHeight="1">
      <c r="A813" s="120"/>
      <c r="D813" s="104"/>
      <c r="F813" s="121"/>
    </row>
    <row r="814" ht="15.75" customHeight="1">
      <c r="A814" s="120"/>
      <c r="D814" s="104"/>
      <c r="F814" s="121"/>
    </row>
    <row r="815" ht="15.75" customHeight="1">
      <c r="A815" s="120"/>
      <c r="D815" s="104"/>
      <c r="F815" s="121"/>
    </row>
    <row r="816" ht="15.75" customHeight="1">
      <c r="A816" s="120"/>
      <c r="D816" s="104"/>
      <c r="F816" s="121"/>
    </row>
    <row r="817" ht="15.75" customHeight="1">
      <c r="A817" s="120"/>
      <c r="D817" s="104"/>
      <c r="F817" s="121"/>
    </row>
    <row r="818" ht="15.75" customHeight="1">
      <c r="A818" s="120"/>
      <c r="D818" s="104"/>
      <c r="F818" s="121"/>
    </row>
    <row r="819" ht="15.75" customHeight="1">
      <c r="A819" s="120"/>
      <c r="D819" s="104"/>
      <c r="F819" s="121"/>
    </row>
    <row r="820" ht="15.75" customHeight="1">
      <c r="A820" s="120"/>
      <c r="D820" s="104"/>
      <c r="F820" s="121"/>
    </row>
    <row r="821" ht="15.75" customHeight="1">
      <c r="A821" s="120"/>
      <c r="D821" s="104"/>
      <c r="F821" s="121"/>
    </row>
    <row r="822" ht="15.75" customHeight="1">
      <c r="A822" s="120"/>
      <c r="D822" s="104"/>
      <c r="F822" s="121"/>
    </row>
    <row r="823" ht="15.75" customHeight="1">
      <c r="A823" s="120"/>
      <c r="D823" s="104"/>
      <c r="F823" s="121"/>
    </row>
    <row r="824" ht="15.75" customHeight="1">
      <c r="A824" s="120"/>
      <c r="D824" s="104"/>
      <c r="F824" s="121"/>
    </row>
    <row r="825" ht="15.75" customHeight="1">
      <c r="A825" s="120"/>
      <c r="D825" s="104"/>
      <c r="F825" s="121"/>
    </row>
    <row r="826" ht="15.75" customHeight="1">
      <c r="A826" s="120"/>
      <c r="D826" s="104"/>
      <c r="F826" s="121"/>
    </row>
    <row r="827" ht="15.75" customHeight="1">
      <c r="A827" s="120"/>
      <c r="D827" s="104"/>
      <c r="F827" s="121"/>
    </row>
    <row r="828" ht="15.75" customHeight="1">
      <c r="A828" s="120"/>
      <c r="D828" s="104"/>
      <c r="F828" s="121"/>
    </row>
    <row r="829" ht="15.75" customHeight="1">
      <c r="A829" s="120"/>
      <c r="D829" s="104"/>
      <c r="F829" s="121"/>
    </row>
    <row r="830" ht="15.75" customHeight="1">
      <c r="A830" s="120"/>
      <c r="D830" s="104"/>
      <c r="F830" s="121"/>
    </row>
    <row r="831" ht="15.75" customHeight="1">
      <c r="A831" s="120"/>
      <c r="D831" s="104"/>
      <c r="F831" s="121"/>
    </row>
    <row r="832" ht="15.75" customHeight="1">
      <c r="A832" s="120"/>
      <c r="D832" s="104"/>
      <c r="F832" s="121"/>
    </row>
    <row r="833" ht="15.75" customHeight="1">
      <c r="A833" s="120"/>
      <c r="D833" s="104"/>
      <c r="F833" s="121"/>
    </row>
    <row r="834" ht="15.75" customHeight="1">
      <c r="A834" s="120"/>
      <c r="D834" s="104"/>
      <c r="F834" s="121"/>
    </row>
    <row r="835" ht="15.75" customHeight="1">
      <c r="A835" s="120"/>
      <c r="D835" s="104"/>
      <c r="F835" s="121"/>
    </row>
    <row r="836" ht="15.75" customHeight="1">
      <c r="A836" s="120"/>
      <c r="D836" s="104"/>
      <c r="F836" s="121"/>
    </row>
    <row r="837" ht="15.75" customHeight="1">
      <c r="A837" s="120"/>
      <c r="D837" s="104"/>
      <c r="F837" s="121"/>
    </row>
    <row r="838" ht="15.75" customHeight="1">
      <c r="A838" s="120"/>
      <c r="D838" s="104"/>
      <c r="F838" s="121"/>
    </row>
    <row r="839" ht="15.75" customHeight="1">
      <c r="A839" s="120"/>
      <c r="D839" s="104"/>
      <c r="F839" s="121"/>
    </row>
    <row r="840" ht="15.75" customHeight="1">
      <c r="A840" s="120"/>
      <c r="D840" s="104"/>
      <c r="F840" s="121"/>
    </row>
    <row r="841" ht="15.75" customHeight="1">
      <c r="A841" s="120"/>
      <c r="D841" s="104"/>
      <c r="F841" s="121"/>
    </row>
    <row r="842" ht="15.75" customHeight="1">
      <c r="A842" s="120"/>
      <c r="D842" s="104"/>
      <c r="F842" s="121"/>
    </row>
    <row r="843" ht="15.75" customHeight="1">
      <c r="A843" s="120"/>
      <c r="D843" s="104"/>
      <c r="F843" s="121"/>
    </row>
    <row r="844" ht="15.75" customHeight="1">
      <c r="A844" s="120"/>
      <c r="D844" s="104"/>
      <c r="F844" s="121"/>
    </row>
    <row r="845" ht="15.75" customHeight="1">
      <c r="A845" s="120"/>
      <c r="D845" s="104"/>
      <c r="F845" s="121"/>
    </row>
    <row r="846" ht="15.75" customHeight="1">
      <c r="A846" s="120"/>
      <c r="D846" s="104"/>
      <c r="F846" s="121"/>
    </row>
    <row r="847" ht="15.75" customHeight="1">
      <c r="A847" s="120"/>
      <c r="D847" s="104"/>
      <c r="F847" s="121"/>
    </row>
    <row r="848" ht="15.75" customHeight="1">
      <c r="A848" s="120"/>
      <c r="D848" s="104"/>
      <c r="F848" s="121"/>
    </row>
    <row r="849" ht="15.75" customHeight="1">
      <c r="A849" s="120"/>
      <c r="D849" s="104"/>
      <c r="F849" s="121"/>
    </row>
    <row r="850" ht="15.75" customHeight="1">
      <c r="A850" s="120"/>
      <c r="D850" s="104"/>
      <c r="F850" s="121"/>
    </row>
    <row r="851" ht="15.75" customHeight="1">
      <c r="A851" s="120"/>
      <c r="D851" s="104"/>
      <c r="F851" s="121"/>
    </row>
    <row r="852" ht="15.75" customHeight="1">
      <c r="A852" s="120"/>
      <c r="D852" s="104"/>
      <c r="F852" s="121"/>
    </row>
    <row r="853" ht="15.75" customHeight="1">
      <c r="A853" s="120"/>
      <c r="D853" s="104"/>
      <c r="F853" s="121"/>
    </row>
    <row r="854" ht="15.75" customHeight="1">
      <c r="A854" s="120"/>
      <c r="D854" s="104"/>
      <c r="F854" s="121"/>
    </row>
    <row r="855" ht="15.75" customHeight="1">
      <c r="A855" s="120"/>
      <c r="D855" s="104"/>
      <c r="F855" s="121"/>
    </row>
    <row r="856" ht="15.75" customHeight="1">
      <c r="A856" s="120"/>
      <c r="D856" s="104"/>
      <c r="F856" s="121"/>
    </row>
    <row r="857" ht="15.75" customHeight="1">
      <c r="A857" s="120"/>
      <c r="D857" s="104"/>
      <c r="F857" s="121"/>
    </row>
    <row r="858" ht="15.75" customHeight="1">
      <c r="A858" s="120"/>
      <c r="D858" s="104"/>
      <c r="F858" s="121"/>
    </row>
    <row r="859" ht="15.75" customHeight="1">
      <c r="A859" s="120"/>
      <c r="D859" s="104"/>
      <c r="F859" s="121"/>
    </row>
    <row r="860" ht="15.75" customHeight="1">
      <c r="A860" s="120"/>
      <c r="D860" s="104"/>
      <c r="F860" s="121"/>
    </row>
    <row r="861" ht="15.75" customHeight="1">
      <c r="A861" s="120"/>
      <c r="D861" s="104"/>
      <c r="F861" s="121"/>
    </row>
    <row r="862" ht="15.75" customHeight="1">
      <c r="A862" s="120"/>
      <c r="D862" s="104"/>
      <c r="F862" s="121"/>
    </row>
    <row r="863" ht="15.75" customHeight="1">
      <c r="A863" s="120"/>
      <c r="D863" s="104"/>
      <c r="F863" s="121"/>
    </row>
    <row r="864" ht="15.75" customHeight="1">
      <c r="A864" s="120"/>
      <c r="D864" s="104"/>
      <c r="F864" s="121"/>
    </row>
    <row r="865" ht="15.75" customHeight="1">
      <c r="A865" s="120"/>
      <c r="D865" s="104"/>
      <c r="F865" s="121"/>
    </row>
    <row r="866" ht="15.75" customHeight="1">
      <c r="A866" s="120"/>
      <c r="D866" s="104"/>
      <c r="F866" s="121"/>
    </row>
    <row r="867" ht="15.75" customHeight="1">
      <c r="A867" s="120"/>
      <c r="D867" s="104"/>
      <c r="F867" s="121"/>
    </row>
    <row r="868" ht="15.75" customHeight="1">
      <c r="A868" s="120"/>
      <c r="D868" s="104"/>
      <c r="F868" s="121"/>
    </row>
    <row r="869" ht="15.75" customHeight="1">
      <c r="A869" s="120"/>
      <c r="D869" s="104"/>
      <c r="F869" s="121"/>
    </row>
    <row r="870" ht="15.75" customHeight="1">
      <c r="A870" s="120"/>
      <c r="D870" s="104"/>
      <c r="F870" s="121"/>
    </row>
    <row r="871" ht="15.75" customHeight="1">
      <c r="A871" s="120"/>
      <c r="D871" s="104"/>
      <c r="F871" s="121"/>
    </row>
    <row r="872" ht="15.75" customHeight="1">
      <c r="A872" s="120"/>
      <c r="D872" s="104"/>
      <c r="F872" s="121"/>
    </row>
    <row r="873" ht="15.75" customHeight="1">
      <c r="A873" s="120"/>
      <c r="D873" s="104"/>
      <c r="F873" s="121"/>
    </row>
    <row r="874" ht="15.75" customHeight="1">
      <c r="A874" s="120"/>
      <c r="D874" s="104"/>
      <c r="F874" s="121"/>
    </row>
    <row r="875" ht="15.75" customHeight="1">
      <c r="A875" s="120"/>
      <c r="D875" s="104"/>
      <c r="F875" s="121"/>
    </row>
    <row r="876" ht="15.75" customHeight="1">
      <c r="A876" s="120"/>
      <c r="D876" s="104"/>
      <c r="F876" s="121"/>
    </row>
    <row r="877" ht="15.75" customHeight="1">
      <c r="A877" s="120"/>
      <c r="D877" s="104"/>
      <c r="F877" s="121"/>
    </row>
    <row r="878" ht="15.75" customHeight="1">
      <c r="A878" s="120"/>
      <c r="D878" s="104"/>
      <c r="F878" s="121"/>
    </row>
    <row r="879" ht="15.75" customHeight="1">
      <c r="A879" s="120"/>
      <c r="D879" s="104"/>
      <c r="F879" s="121"/>
    </row>
    <row r="880" ht="15.75" customHeight="1">
      <c r="A880" s="120"/>
      <c r="D880" s="104"/>
      <c r="F880" s="121"/>
    </row>
    <row r="881" ht="15.75" customHeight="1">
      <c r="A881" s="120"/>
      <c r="D881" s="104"/>
      <c r="F881" s="121"/>
    </row>
    <row r="882" ht="15.75" customHeight="1">
      <c r="A882" s="120"/>
      <c r="D882" s="104"/>
      <c r="F882" s="121"/>
    </row>
    <row r="883" ht="15.75" customHeight="1">
      <c r="A883" s="120"/>
      <c r="D883" s="104"/>
      <c r="F883" s="121"/>
    </row>
    <row r="884" ht="15.75" customHeight="1">
      <c r="A884" s="120"/>
      <c r="D884" s="104"/>
      <c r="F884" s="121"/>
    </row>
    <row r="885" ht="15.75" customHeight="1">
      <c r="A885" s="120"/>
      <c r="D885" s="104"/>
      <c r="F885" s="121"/>
    </row>
    <row r="886" ht="15.75" customHeight="1">
      <c r="A886" s="120"/>
      <c r="D886" s="104"/>
      <c r="F886" s="121"/>
    </row>
    <row r="887" ht="15.75" customHeight="1">
      <c r="A887" s="120"/>
      <c r="D887" s="104"/>
      <c r="F887" s="121"/>
    </row>
    <row r="888" ht="15.75" customHeight="1">
      <c r="A888" s="120"/>
      <c r="D888" s="104"/>
      <c r="F888" s="121"/>
    </row>
    <row r="889" ht="15.75" customHeight="1">
      <c r="A889" s="120"/>
      <c r="D889" s="104"/>
      <c r="F889" s="121"/>
    </row>
    <row r="890" ht="15.75" customHeight="1">
      <c r="A890" s="120"/>
      <c r="D890" s="104"/>
      <c r="F890" s="121"/>
    </row>
    <row r="891" ht="15.75" customHeight="1">
      <c r="A891" s="120"/>
      <c r="D891" s="104"/>
      <c r="F891" s="121"/>
    </row>
    <row r="892" ht="15.75" customHeight="1">
      <c r="A892" s="120"/>
      <c r="D892" s="104"/>
      <c r="F892" s="121"/>
    </row>
    <row r="893" ht="15.75" customHeight="1">
      <c r="A893" s="120"/>
      <c r="D893" s="104"/>
      <c r="F893" s="121"/>
    </row>
    <row r="894" ht="15.75" customHeight="1">
      <c r="A894" s="120"/>
      <c r="D894" s="104"/>
      <c r="F894" s="121"/>
    </row>
    <row r="895" ht="15.75" customHeight="1">
      <c r="A895" s="120"/>
      <c r="D895" s="104"/>
      <c r="F895" s="121"/>
    </row>
    <row r="896" ht="15.75" customHeight="1">
      <c r="A896" s="120"/>
      <c r="D896" s="104"/>
      <c r="F896" s="121"/>
    </row>
    <row r="897" ht="15.75" customHeight="1">
      <c r="A897" s="120"/>
      <c r="D897" s="104"/>
      <c r="F897" s="121"/>
    </row>
    <row r="898" ht="15.75" customHeight="1">
      <c r="A898" s="120"/>
      <c r="D898" s="104"/>
      <c r="F898" s="121"/>
    </row>
    <row r="899" ht="15.75" customHeight="1">
      <c r="A899" s="120"/>
      <c r="D899" s="104"/>
      <c r="F899" s="121"/>
    </row>
    <row r="900" ht="15.75" customHeight="1">
      <c r="A900" s="120"/>
      <c r="D900" s="104"/>
      <c r="F900" s="121"/>
    </row>
    <row r="901" ht="15.75" customHeight="1">
      <c r="A901" s="120"/>
      <c r="D901" s="104"/>
      <c r="F901" s="121"/>
    </row>
    <row r="902" ht="15.75" customHeight="1">
      <c r="A902" s="120"/>
      <c r="D902" s="104"/>
      <c r="F902" s="121"/>
    </row>
    <row r="903" ht="15.75" customHeight="1">
      <c r="A903" s="120"/>
      <c r="D903" s="104"/>
      <c r="F903" s="121"/>
    </row>
    <row r="904" ht="15.75" customHeight="1">
      <c r="A904" s="120"/>
      <c r="D904" s="104"/>
      <c r="F904" s="121"/>
    </row>
    <row r="905" ht="15.75" customHeight="1">
      <c r="A905" s="120"/>
      <c r="D905" s="104"/>
      <c r="F905" s="121"/>
    </row>
    <row r="906" ht="15.75" customHeight="1">
      <c r="A906" s="120"/>
      <c r="D906" s="104"/>
      <c r="F906" s="121"/>
    </row>
    <row r="907" ht="15.75" customHeight="1">
      <c r="A907" s="120"/>
      <c r="D907" s="104"/>
      <c r="F907" s="121"/>
    </row>
    <row r="908" ht="15.75" customHeight="1">
      <c r="A908" s="120"/>
      <c r="D908" s="104"/>
      <c r="F908" s="121"/>
    </row>
    <row r="909" ht="15.75" customHeight="1">
      <c r="A909" s="120"/>
      <c r="D909" s="104"/>
      <c r="F909" s="121"/>
    </row>
    <row r="910" ht="15.75" customHeight="1">
      <c r="A910" s="120"/>
      <c r="D910" s="104"/>
      <c r="F910" s="121"/>
    </row>
    <row r="911" ht="15.75" customHeight="1">
      <c r="A911" s="120"/>
      <c r="D911" s="104"/>
      <c r="F911" s="121"/>
    </row>
    <row r="912" ht="15.75" customHeight="1">
      <c r="A912" s="120"/>
      <c r="D912" s="104"/>
      <c r="F912" s="121"/>
    </row>
    <row r="913" ht="15.75" customHeight="1">
      <c r="A913" s="120"/>
      <c r="D913" s="104"/>
      <c r="F913" s="121"/>
    </row>
    <row r="914" ht="15.75" customHeight="1">
      <c r="A914" s="120"/>
      <c r="D914" s="104"/>
      <c r="F914" s="121"/>
    </row>
    <row r="915" ht="15.75" customHeight="1">
      <c r="A915" s="120"/>
      <c r="D915" s="104"/>
      <c r="F915" s="121"/>
    </row>
    <row r="916" ht="15.75" customHeight="1">
      <c r="A916" s="120"/>
      <c r="D916" s="104"/>
      <c r="F916" s="121"/>
    </row>
    <row r="917" ht="15.75" customHeight="1">
      <c r="A917" s="120"/>
      <c r="D917" s="104"/>
      <c r="F917" s="121"/>
    </row>
    <row r="918" ht="15.75" customHeight="1">
      <c r="A918" s="120"/>
      <c r="D918" s="104"/>
      <c r="F918" s="121"/>
    </row>
    <row r="919" ht="15.75" customHeight="1">
      <c r="A919" s="120"/>
      <c r="D919" s="104"/>
      <c r="F919" s="121"/>
    </row>
    <row r="920" ht="15.75" customHeight="1">
      <c r="A920" s="120"/>
      <c r="D920" s="104"/>
      <c r="F920" s="121"/>
    </row>
    <row r="921" ht="15.75" customHeight="1">
      <c r="A921" s="120"/>
      <c r="D921" s="104"/>
      <c r="F921" s="121"/>
    </row>
    <row r="922" ht="15.75" customHeight="1">
      <c r="A922" s="120"/>
      <c r="D922" s="104"/>
      <c r="F922" s="121"/>
    </row>
    <row r="923" ht="15.75" customHeight="1">
      <c r="A923" s="120"/>
      <c r="D923" s="104"/>
      <c r="F923" s="121"/>
    </row>
    <row r="924" ht="15.75" customHeight="1">
      <c r="A924" s="120"/>
      <c r="D924" s="104"/>
      <c r="F924" s="121"/>
    </row>
    <row r="925" ht="15.75" customHeight="1">
      <c r="A925" s="120"/>
      <c r="D925" s="104"/>
      <c r="F925" s="121"/>
    </row>
    <row r="926" ht="15.75" customHeight="1">
      <c r="A926" s="120"/>
      <c r="D926" s="104"/>
      <c r="F926" s="121"/>
    </row>
    <row r="927" ht="15.75" customHeight="1">
      <c r="A927" s="120"/>
      <c r="D927" s="104"/>
      <c r="F927" s="121"/>
    </row>
    <row r="928" ht="15.75" customHeight="1">
      <c r="A928" s="120"/>
      <c r="D928" s="104"/>
      <c r="F928" s="121"/>
    </row>
    <row r="929" ht="15.75" customHeight="1">
      <c r="A929" s="120"/>
      <c r="D929" s="104"/>
      <c r="F929" s="121"/>
    </row>
    <row r="930" ht="15.75" customHeight="1">
      <c r="A930" s="120"/>
      <c r="D930" s="104"/>
      <c r="F930" s="121"/>
    </row>
    <row r="931" ht="15.75" customHeight="1">
      <c r="A931" s="120"/>
      <c r="D931" s="104"/>
      <c r="F931" s="121"/>
    </row>
    <row r="932" ht="15.75" customHeight="1">
      <c r="A932" s="120"/>
      <c r="D932" s="104"/>
      <c r="F932" s="121"/>
    </row>
    <row r="933" ht="15.75" customHeight="1">
      <c r="A933" s="120"/>
      <c r="D933" s="104"/>
      <c r="F933" s="121"/>
    </row>
    <row r="934" ht="15.75" customHeight="1">
      <c r="A934" s="120"/>
      <c r="D934" s="104"/>
      <c r="F934" s="121"/>
    </row>
    <row r="935" ht="15.75" customHeight="1">
      <c r="A935" s="120"/>
      <c r="D935" s="104"/>
      <c r="F935" s="121"/>
    </row>
    <row r="936" ht="15.75" customHeight="1">
      <c r="A936" s="120"/>
      <c r="D936" s="104"/>
      <c r="F936" s="121"/>
    </row>
    <row r="937" ht="15.75" customHeight="1">
      <c r="A937" s="120"/>
      <c r="D937" s="104"/>
      <c r="F937" s="121"/>
    </row>
    <row r="938" ht="15.75" customHeight="1">
      <c r="A938" s="120"/>
      <c r="D938" s="104"/>
      <c r="F938" s="121"/>
    </row>
    <row r="939" ht="15.75" customHeight="1">
      <c r="A939" s="120"/>
      <c r="D939" s="104"/>
      <c r="F939" s="121"/>
    </row>
    <row r="940" ht="15.75" customHeight="1">
      <c r="A940" s="120"/>
      <c r="D940" s="104"/>
      <c r="F940" s="121"/>
    </row>
    <row r="941" ht="15.75" customHeight="1">
      <c r="A941" s="120"/>
      <c r="D941" s="104"/>
      <c r="F941" s="121"/>
    </row>
    <row r="942" ht="15.75" customHeight="1">
      <c r="A942" s="120"/>
      <c r="D942" s="104"/>
      <c r="F942" s="121"/>
    </row>
    <row r="943" ht="15.75" customHeight="1">
      <c r="A943" s="120"/>
      <c r="D943" s="104"/>
      <c r="F943" s="121"/>
    </row>
    <row r="944" ht="15.75" customHeight="1">
      <c r="A944" s="120"/>
      <c r="D944" s="104"/>
      <c r="F944" s="121"/>
    </row>
    <row r="945" ht="15.75" customHeight="1">
      <c r="A945" s="120"/>
      <c r="D945" s="104"/>
      <c r="F945" s="121"/>
    </row>
    <row r="946" ht="15.75" customHeight="1">
      <c r="A946" s="120"/>
      <c r="D946" s="104"/>
      <c r="F946" s="121"/>
    </row>
    <row r="947" ht="15.75" customHeight="1">
      <c r="A947" s="120"/>
      <c r="D947" s="104"/>
      <c r="F947" s="121"/>
    </row>
    <row r="948" ht="15.75" customHeight="1">
      <c r="A948" s="120"/>
      <c r="D948" s="104"/>
      <c r="F948" s="121"/>
    </row>
    <row r="949" ht="15.75" customHeight="1">
      <c r="A949" s="120"/>
      <c r="D949" s="104"/>
      <c r="F949" s="121"/>
    </row>
    <row r="950" ht="15.75" customHeight="1">
      <c r="A950" s="120"/>
      <c r="D950" s="104"/>
      <c r="F950" s="121"/>
    </row>
    <row r="951" ht="15.75" customHeight="1">
      <c r="A951" s="120"/>
      <c r="D951" s="104"/>
      <c r="F951" s="121"/>
    </row>
    <row r="952" ht="15.75" customHeight="1">
      <c r="A952" s="120"/>
      <c r="D952" s="104"/>
      <c r="F952" s="121"/>
    </row>
    <row r="953" ht="15.75" customHeight="1">
      <c r="A953" s="120"/>
      <c r="D953" s="104"/>
      <c r="F953" s="121"/>
    </row>
    <row r="954" ht="15.75" customHeight="1">
      <c r="A954" s="120"/>
      <c r="D954" s="104"/>
      <c r="F954" s="121"/>
    </row>
    <row r="955" ht="15.75" customHeight="1">
      <c r="A955" s="120"/>
      <c r="D955" s="104"/>
      <c r="F955" s="121"/>
    </row>
    <row r="956" ht="15.75" customHeight="1">
      <c r="A956" s="120"/>
      <c r="D956" s="104"/>
      <c r="F956" s="121"/>
    </row>
    <row r="957" ht="15.75" customHeight="1">
      <c r="A957" s="120"/>
      <c r="D957" s="104"/>
      <c r="F957" s="121"/>
    </row>
    <row r="958" ht="15.75" customHeight="1">
      <c r="A958" s="120"/>
      <c r="D958" s="104"/>
      <c r="F958" s="121"/>
    </row>
    <row r="959" ht="15.75" customHeight="1">
      <c r="A959" s="120"/>
      <c r="D959" s="104"/>
      <c r="F959" s="121"/>
    </row>
    <row r="960" ht="15.75" customHeight="1">
      <c r="A960" s="120"/>
      <c r="D960" s="104"/>
      <c r="F960" s="121"/>
    </row>
    <row r="961" ht="15.75" customHeight="1">
      <c r="A961" s="120"/>
      <c r="D961" s="104"/>
      <c r="F961" s="121"/>
    </row>
    <row r="962" ht="15.75" customHeight="1">
      <c r="A962" s="120"/>
      <c r="D962" s="104"/>
      <c r="F962" s="121"/>
    </row>
    <row r="963" ht="15.75" customHeight="1">
      <c r="A963" s="120"/>
      <c r="D963" s="104"/>
      <c r="F963" s="121"/>
    </row>
    <row r="964" ht="15.75" customHeight="1">
      <c r="A964" s="120"/>
      <c r="D964" s="104"/>
      <c r="F964" s="121"/>
    </row>
    <row r="965" ht="15.75" customHeight="1">
      <c r="A965" s="120"/>
      <c r="D965" s="104"/>
      <c r="F965" s="121"/>
    </row>
    <row r="966" ht="15.75" customHeight="1">
      <c r="A966" s="120"/>
      <c r="D966" s="104"/>
      <c r="F966" s="121"/>
    </row>
    <row r="967" ht="15.75" customHeight="1">
      <c r="A967" s="120"/>
      <c r="D967" s="104"/>
      <c r="F967" s="121"/>
    </row>
    <row r="968" ht="15.75" customHeight="1">
      <c r="A968" s="120"/>
      <c r="D968" s="104"/>
      <c r="F968" s="121"/>
    </row>
    <row r="969" ht="15.75" customHeight="1">
      <c r="A969" s="120"/>
      <c r="D969" s="104"/>
      <c r="F969" s="121"/>
    </row>
    <row r="970" ht="15.75" customHeight="1">
      <c r="A970" s="120"/>
      <c r="D970" s="104"/>
      <c r="F970" s="121"/>
    </row>
    <row r="971" ht="15.75" customHeight="1">
      <c r="A971" s="120"/>
      <c r="D971" s="104"/>
      <c r="F971" s="121"/>
    </row>
    <row r="972" ht="15.75" customHeight="1">
      <c r="A972" s="120"/>
      <c r="D972" s="104"/>
      <c r="F972" s="121"/>
    </row>
    <row r="973" ht="15.75" customHeight="1">
      <c r="A973" s="120"/>
      <c r="D973" s="104"/>
      <c r="F973" s="121"/>
    </row>
    <row r="974" ht="15.75" customHeight="1">
      <c r="A974" s="120"/>
      <c r="D974" s="104"/>
      <c r="F974" s="121"/>
    </row>
    <row r="975" ht="15.75" customHeight="1">
      <c r="A975" s="120"/>
      <c r="D975" s="104"/>
      <c r="F975" s="121"/>
    </row>
    <row r="976" ht="15.75" customHeight="1">
      <c r="A976" s="120"/>
      <c r="D976" s="104"/>
      <c r="F976" s="121"/>
    </row>
    <row r="977" ht="15.75" customHeight="1">
      <c r="A977" s="120"/>
      <c r="D977" s="104"/>
      <c r="F977" s="121"/>
    </row>
    <row r="978" ht="15.75" customHeight="1">
      <c r="A978" s="120"/>
      <c r="D978" s="104"/>
      <c r="F978" s="121"/>
    </row>
    <row r="979" ht="15.75" customHeight="1">
      <c r="A979" s="120"/>
      <c r="D979" s="104"/>
      <c r="F979" s="121"/>
    </row>
    <row r="980" ht="15.75" customHeight="1">
      <c r="A980" s="120"/>
      <c r="D980" s="104"/>
      <c r="F980" s="121"/>
    </row>
    <row r="981" ht="15.75" customHeight="1">
      <c r="A981" s="120"/>
      <c r="D981" s="104"/>
      <c r="F981" s="121"/>
    </row>
    <row r="982" ht="15.75" customHeight="1">
      <c r="A982" s="120"/>
      <c r="D982" s="104"/>
      <c r="F982" s="121"/>
    </row>
    <row r="983" ht="15.75" customHeight="1">
      <c r="A983" s="120"/>
      <c r="D983" s="104"/>
      <c r="F983" s="121"/>
    </row>
    <row r="984" ht="15.75" customHeight="1">
      <c r="A984" s="120"/>
      <c r="D984" s="104"/>
      <c r="F984" s="121"/>
    </row>
    <row r="985" ht="15.75" customHeight="1">
      <c r="A985" s="120"/>
      <c r="D985" s="104"/>
      <c r="F985" s="121"/>
    </row>
    <row r="986" ht="15.75" customHeight="1">
      <c r="A986" s="120"/>
      <c r="D986" s="104"/>
      <c r="F986" s="121"/>
    </row>
    <row r="987" ht="15.75" customHeight="1">
      <c r="A987" s="120"/>
      <c r="D987" s="104"/>
      <c r="F987" s="121"/>
    </row>
    <row r="988" ht="15.75" customHeight="1">
      <c r="A988" s="120"/>
      <c r="D988" s="104"/>
      <c r="F988" s="121"/>
    </row>
    <row r="989" ht="15.75" customHeight="1">
      <c r="A989" s="120"/>
      <c r="D989" s="104"/>
      <c r="F989" s="121"/>
    </row>
    <row r="990" ht="15.75" customHeight="1">
      <c r="A990" s="120"/>
      <c r="D990" s="104"/>
      <c r="F990" s="121"/>
    </row>
    <row r="991" ht="15.75" customHeight="1">
      <c r="A991" s="120"/>
      <c r="D991" s="104"/>
      <c r="F991" s="121"/>
    </row>
    <row r="992" ht="15.75" customHeight="1">
      <c r="A992" s="120"/>
      <c r="D992" s="104"/>
      <c r="F992" s="121"/>
    </row>
    <row r="993" ht="15.75" customHeight="1">
      <c r="A993" s="120"/>
      <c r="D993" s="104"/>
      <c r="F993" s="121"/>
    </row>
    <row r="994" ht="15.75" customHeight="1">
      <c r="A994" s="120"/>
      <c r="D994" s="104"/>
      <c r="F994" s="121"/>
    </row>
    <row r="995" ht="15.75" customHeight="1">
      <c r="A995" s="120"/>
      <c r="D995" s="104"/>
      <c r="F995" s="121"/>
    </row>
    <row r="996" ht="15.75" customHeight="1">
      <c r="A996" s="120"/>
      <c r="D996" s="104"/>
      <c r="F996" s="121"/>
    </row>
    <row r="997" ht="15.75" customHeight="1">
      <c r="A997" s="120"/>
      <c r="D997" s="104"/>
      <c r="F997" s="121"/>
    </row>
    <row r="998" ht="15.75" customHeight="1">
      <c r="A998" s="120"/>
      <c r="D998" s="104"/>
      <c r="F998" s="121"/>
    </row>
    <row r="999" ht="15.75" customHeight="1">
      <c r="A999" s="120"/>
      <c r="D999" s="104"/>
      <c r="F999" s="121"/>
    </row>
    <row r="1000" ht="15.75" customHeight="1">
      <c r="A1000" s="120"/>
      <c r="D1000" s="104"/>
      <c r="F1000" s="121"/>
    </row>
  </sheetData>
  <mergeCells count="3">
    <mergeCell ref="A1:F2"/>
    <mergeCell ref="A6:A11"/>
    <mergeCell ref="A12:A1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22" t="s">
        <v>184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23">
        <v>46241.0</v>
      </c>
      <c r="B4" s="31"/>
      <c r="C4" s="33"/>
      <c r="D4" s="38"/>
      <c r="E4" s="40">
        <v>10320.0</v>
      </c>
      <c r="F4" s="114">
        <v>48.0</v>
      </c>
    </row>
    <row r="5">
      <c r="A5" s="115">
        <v>46241.0</v>
      </c>
      <c r="B5" s="53" t="s">
        <v>32</v>
      </c>
      <c r="C5" s="50"/>
      <c r="D5" s="52">
        <v>240.0</v>
      </c>
      <c r="E5" s="58">
        <f t="shared" ref="E5:E51" si="1">E4-D5+C5</f>
        <v>10080</v>
      </c>
      <c r="F5" s="59">
        <f>E5/F4</f>
        <v>210</v>
      </c>
    </row>
    <row r="6">
      <c r="A6" s="116">
        <v>46245.0</v>
      </c>
      <c r="B6" s="53" t="s">
        <v>19</v>
      </c>
      <c r="C6" s="58"/>
      <c r="D6" s="52">
        <v>720.0</v>
      </c>
      <c r="E6" s="58">
        <f t="shared" si="1"/>
        <v>9360</v>
      </c>
      <c r="F6" s="59">
        <f>E6/F4</f>
        <v>195</v>
      </c>
    </row>
    <row r="7">
      <c r="A7" s="65"/>
      <c r="B7" s="53" t="s">
        <v>24</v>
      </c>
      <c r="C7" s="58"/>
      <c r="D7" s="52">
        <v>96.0</v>
      </c>
      <c r="E7" s="58">
        <f t="shared" si="1"/>
        <v>9264</v>
      </c>
      <c r="F7" s="59">
        <f>E7/F4</f>
        <v>193</v>
      </c>
    </row>
    <row r="8">
      <c r="A8" s="65"/>
      <c r="B8" s="53" t="s">
        <v>180</v>
      </c>
      <c r="C8" s="58"/>
      <c r="D8" s="52">
        <v>48.0</v>
      </c>
      <c r="E8" s="58">
        <f t="shared" si="1"/>
        <v>9216</v>
      </c>
      <c r="F8" s="59">
        <f>E8/F4</f>
        <v>192</v>
      </c>
    </row>
    <row r="9">
      <c r="A9" s="65"/>
      <c r="B9" s="53" t="s">
        <v>26</v>
      </c>
      <c r="C9" s="58"/>
      <c r="D9" s="52">
        <v>240.0</v>
      </c>
      <c r="E9" s="58">
        <f t="shared" si="1"/>
        <v>8976</v>
      </c>
      <c r="F9" s="59">
        <f>E9/F4</f>
        <v>187</v>
      </c>
    </row>
    <row r="10">
      <c r="A10" s="65"/>
      <c r="B10" s="53" t="s">
        <v>27</v>
      </c>
      <c r="C10" s="58"/>
      <c r="D10" s="52">
        <v>48.0</v>
      </c>
      <c r="E10" s="58">
        <f t="shared" si="1"/>
        <v>8928</v>
      </c>
      <c r="F10" s="59">
        <f>E10/F4</f>
        <v>186</v>
      </c>
    </row>
    <row r="11">
      <c r="A11" s="67"/>
      <c r="B11" s="53" t="s">
        <v>28</v>
      </c>
      <c r="C11" s="58"/>
      <c r="D11" s="52">
        <v>96.0</v>
      </c>
      <c r="E11" s="58">
        <f t="shared" si="1"/>
        <v>8832</v>
      </c>
      <c r="F11" s="59">
        <f>E11/F4</f>
        <v>184</v>
      </c>
    </row>
    <row r="12">
      <c r="A12" s="116">
        <v>46246.0</v>
      </c>
      <c r="B12" s="53" t="s">
        <v>30</v>
      </c>
      <c r="C12" s="58"/>
      <c r="D12" s="52">
        <v>96.0</v>
      </c>
      <c r="E12" s="58">
        <f t="shared" si="1"/>
        <v>8736</v>
      </c>
      <c r="F12" s="59">
        <f>E12/F4</f>
        <v>182</v>
      </c>
    </row>
    <row r="13">
      <c r="A13" s="65"/>
      <c r="B13" s="53" t="s">
        <v>33</v>
      </c>
      <c r="C13" s="58"/>
      <c r="D13" s="52">
        <v>48.0</v>
      </c>
      <c r="E13" s="58">
        <f t="shared" si="1"/>
        <v>8688</v>
      </c>
      <c r="F13" s="59">
        <f>E13/F4</f>
        <v>181</v>
      </c>
    </row>
    <row r="14">
      <c r="A14" s="65"/>
      <c r="B14" s="53" t="s">
        <v>34</v>
      </c>
      <c r="C14" s="58"/>
      <c r="D14" s="52">
        <v>48.0</v>
      </c>
      <c r="E14" s="58">
        <f t="shared" si="1"/>
        <v>8640</v>
      </c>
      <c r="F14" s="59">
        <f>E14/F4</f>
        <v>180</v>
      </c>
    </row>
    <row r="15">
      <c r="A15" s="65"/>
      <c r="B15" s="62" t="s">
        <v>38</v>
      </c>
      <c r="C15" s="69"/>
      <c r="D15" s="52">
        <v>48.0</v>
      </c>
      <c r="E15" s="58">
        <f t="shared" si="1"/>
        <v>8592</v>
      </c>
      <c r="F15" s="59">
        <f>E15/F4</f>
        <v>179</v>
      </c>
    </row>
    <row r="16">
      <c r="A16" s="65"/>
      <c r="B16" s="62" t="s">
        <v>40</v>
      </c>
      <c r="C16" s="69"/>
      <c r="D16" s="52">
        <v>96.0</v>
      </c>
      <c r="E16" s="58">
        <f t="shared" si="1"/>
        <v>8496</v>
      </c>
      <c r="F16" s="59">
        <f>E16/F4</f>
        <v>177</v>
      </c>
    </row>
    <row r="17">
      <c r="A17" s="67"/>
      <c r="B17" s="118" t="s">
        <v>183</v>
      </c>
      <c r="C17" s="69"/>
      <c r="D17" s="52">
        <v>1440.0</v>
      </c>
      <c r="E17" s="58">
        <f t="shared" si="1"/>
        <v>7056</v>
      </c>
      <c r="F17" s="59">
        <f>E17/F4</f>
        <v>147</v>
      </c>
    </row>
    <row r="18">
      <c r="A18" s="115"/>
      <c r="B18" s="69"/>
      <c r="C18" s="69"/>
      <c r="D18" s="52"/>
      <c r="E18" s="58">
        <f t="shared" si="1"/>
        <v>7056</v>
      </c>
      <c r="F18" s="59">
        <f>E18/F4</f>
        <v>147</v>
      </c>
    </row>
    <row r="19">
      <c r="A19" s="115"/>
      <c r="B19" s="69"/>
      <c r="C19" s="69"/>
      <c r="D19" s="52"/>
      <c r="E19" s="58">
        <f t="shared" si="1"/>
        <v>7056</v>
      </c>
      <c r="F19" s="59">
        <f>E19/F4</f>
        <v>147</v>
      </c>
    </row>
    <row r="20">
      <c r="A20" s="115"/>
      <c r="B20" s="69"/>
      <c r="C20" s="69"/>
      <c r="D20" s="119"/>
      <c r="E20" s="58">
        <f t="shared" si="1"/>
        <v>7056</v>
      </c>
      <c r="F20" s="59">
        <f>E20/F4</f>
        <v>147</v>
      </c>
    </row>
    <row r="21" ht="15.75" customHeight="1">
      <c r="A21" s="115"/>
      <c r="B21" s="69"/>
      <c r="C21" s="69"/>
      <c r="D21" s="119"/>
      <c r="E21" s="58">
        <f t="shared" si="1"/>
        <v>7056</v>
      </c>
      <c r="F21" s="59">
        <f>E21/F4</f>
        <v>147</v>
      </c>
    </row>
    <row r="22" ht="15.75" customHeight="1">
      <c r="A22" s="115"/>
      <c r="B22" s="69"/>
      <c r="C22" s="69"/>
      <c r="D22" s="119"/>
      <c r="E22" s="58">
        <f t="shared" si="1"/>
        <v>7056</v>
      </c>
      <c r="F22" s="59">
        <f>E22/F4</f>
        <v>147</v>
      </c>
    </row>
    <row r="23" ht="15.75" customHeight="1">
      <c r="A23" s="115"/>
      <c r="B23" s="69"/>
      <c r="C23" s="69"/>
      <c r="D23" s="119"/>
      <c r="E23" s="58">
        <f t="shared" si="1"/>
        <v>7056</v>
      </c>
      <c r="F23" s="59">
        <f>E23/F4</f>
        <v>147</v>
      </c>
    </row>
    <row r="24" ht="15.75" customHeight="1">
      <c r="A24" s="115"/>
      <c r="B24" s="69"/>
      <c r="C24" s="69"/>
      <c r="D24" s="119"/>
      <c r="E24" s="58">
        <f t="shared" si="1"/>
        <v>7056</v>
      </c>
      <c r="F24" s="59">
        <f>E24/F4</f>
        <v>147</v>
      </c>
    </row>
    <row r="25" ht="15.75" customHeight="1">
      <c r="A25" s="115"/>
      <c r="B25" s="69"/>
      <c r="C25" s="69"/>
      <c r="D25" s="119"/>
      <c r="E25" s="58">
        <f t="shared" si="1"/>
        <v>7056</v>
      </c>
      <c r="F25" s="59">
        <f>E25/F4</f>
        <v>147</v>
      </c>
    </row>
    <row r="26" ht="15.75" customHeight="1">
      <c r="A26" s="115"/>
      <c r="B26" s="69"/>
      <c r="C26" s="69"/>
      <c r="D26" s="119"/>
      <c r="E26" s="58">
        <f t="shared" si="1"/>
        <v>7056</v>
      </c>
      <c r="F26" s="59">
        <f>E26/F4</f>
        <v>147</v>
      </c>
    </row>
    <row r="27" ht="15.75" customHeight="1">
      <c r="A27" s="115"/>
      <c r="B27" s="69"/>
      <c r="C27" s="69"/>
      <c r="D27" s="119"/>
      <c r="E27" s="58">
        <f t="shared" si="1"/>
        <v>7056</v>
      </c>
      <c r="F27" s="59">
        <f>E27/F4</f>
        <v>147</v>
      </c>
    </row>
    <row r="28" ht="15.75" customHeight="1">
      <c r="A28" s="115"/>
      <c r="B28" s="69"/>
      <c r="C28" s="69"/>
      <c r="D28" s="119"/>
      <c r="E28" s="58">
        <f t="shared" si="1"/>
        <v>7056</v>
      </c>
      <c r="F28" s="59">
        <f>E28/F4</f>
        <v>147</v>
      </c>
    </row>
    <row r="29" ht="15.75" customHeight="1">
      <c r="A29" s="115"/>
      <c r="B29" s="69"/>
      <c r="C29" s="69"/>
      <c r="D29" s="119"/>
      <c r="E29" s="58">
        <f t="shared" si="1"/>
        <v>7056</v>
      </c>
      <c r="F29" s="59">
        <f>E29/F4</f>
        <v>147</v>
      </c>
    </row>
    <row r="30" ht="15.75" customHeight="1">
      <c r="A30" s="115"/>
      <c r="B30" s="69"/>
      <c r="C30" s="69"/>
      <c r="D30" s="119"/>
      <c r="E30" s="58">
        <f t="shared" si="1"/>
        <v>7056</v>
      </c>
      <c r="F30" s="59">
        <f>E30/F4</f>
        <v>147</v>
      </c>
    </row>
    <row r="31" ht="15.75" customHeight="1">
      <c r="A31" s="115"/>
      <c r="B31" s="69"/>
      <c r="C31" s="69"/>
      <c r="D31" s="119"/>
      <c r="E31" s="58">
        <f t="shared" si="1"/>
        <v>7056</v>
      </c>
      <c r="F31" s="59">
        <f>E31/F4</f>
        <v>147</v>
      </c>
    </row>
    <row r="32" ht="15.75" customHeight="1">
      <c r="A32" s="115"/>
      <c r="B32" s="69"/>
      <c r="C32" s="69"/>
      <c r="D32" s="119"/>
      <c r="E32" s="58">
        <f t="shared" si="1"/>
        <v>7056</v>
      </c>
      <c r="F32" s="59">
        <f>E32/F4</f>
        <v>147</v>
      </c>
    </row>
    <row r="33" ht="15.75" customHeight="1">
      <c r="A33" s="115"/>
      <c r="B33" s="69"/>
      <c r="C33" s="69"/>
      <c r="D33" s="119"/>
      <c r="E33" s="58">
        <f t="shared" si="1"/>
        <v>7056</v>
      </c>
      <c r="F33" s="59">
        <f>E33/F4</f>
        <v>147</v>
      </c>
    </row>
    <row r="34" ht="15.75" customHeight="1">
      <c r="A34" s="115"/>
      <c r="B34" s="69"/>
      <c r="C34" s="69"/>
      <c r="D34" s="119"/>
      <c r="E34" s="58">
        <f t="shared" si="1"/>
        <v>7056</v>
      </c>
      <c r="F34" s="59">
        <f>E34/F4</f>
        <v>147</v>
      </c>
    </row>
    <row r="35" ht="15.75" customHeight="1">
      <c r="A35" s="115"/>
      <c r="B35" s="69"/>
      <c r="C35" s="69"/>
      <c r="D35" s="119"/>
      <c r="E35" s="58">
        <f t="shared" si="1"/>
        <v>7056</v>
      </c>
      <c r="F35" s="59">
        <f>E35/F4</f>
        <v>147</v>
      </c>
    </row>
    <row r="36" ht="15.75" customHeight="1">
      <c r="A36" s="115"/>
      <c r="B36" s="69"/>
      <c r="C36" s="69"/>
      <c r="D36" s="119"/>
      <c r="E36" s="58">
        <f t="shared" si="1"/>
        <v>7056</v>
      </c>
      <c r="F36" s="59">
        <f>E36/F4</f>
        <v>147</v>
      </c>
    </row>
    <row r="37" ht="15.75" customHeight="1">
      <c r="A37" s="115"/>
      <c r="B37" s="69"/>
      <c r="C37" s="69"/>
      <c r="D37" s="119"/>
      <c r="E37" s="58">
        <f t="shared" si="1"/>
        <v>7056</v>
      </c>
      <c r="F37" s="59">
        <f>E37/F4</f>
        <v>147</v>
      </c>
    </row>
    <row r="38" ht="15.75" customHeight="1">
      <c r="A38" s="115"/>
      <c r="B38" s="69"/>
      <c r="C38" s="69"/>
      <c r="D38" s="119"/>
      <c r="E38" s="58">
        <f t="shared" si="1"/>
        <v>7056</v>
      </c>
      <c r="F38" s="59">
        <f>E38/F4</f>
        <v>147</v>
      </c>
    </row>
    <row r="39" ht="15.75" customHeight="1">
      <c r="A39" s="115"/>
      <c r="B39" s="69"/>
      <c r="C39" s="69"/>
      <c r="D39" s="119"/>
      <c r="E39" s="58">
        <f t="shared" si="1"/>
        <v>7056</v>
      </c>
      <c r="F39" s="59">
        <f>E39/F4</f>
        <v>147</v>
      </c>
    </row>
    <row r="40" ht="15.75" customHeight="1">
      <c r="A40" s="115"/>
      <c r="B40" s="69"/>
      <c r="C40" s="69"/>
      <c r="D40" s="119"/>
      <c r="E40" s="58">
        <f t="shared" si="1"/>
        <v>7056</v>
      </c>
      <c r="F40" s="59">
        <f>E40/F4</f>
        <v>147</v>
      </c>
    </row>
    <row r="41" ht="15.75" customHeight="1">
      <c r="A41" s="115"/>
      <c r="B41" s="69"/>
      <c r="C41" s="69"/>
      <c r="D41" s="119"/>
      <c r="E41" s="58">
        <f t="shared" si="1"/>
        <v>7056</v>
      </c>
      <c r="F41" s="59">
        <f>E41/F4</f>
        <v>147</v>
      </c>
    </row>
    <row r="42" ht="15.75" customHeight="1">
      <c r="A42" s="115"/>
      <c r="B42" s="69"/>
      <c r="C42" s="69"/>
      <c r="D42" s="119"/>
      <c r="E42" s="58">
        <f t="shared" si="1"/>
        <v>7056</v>
      </c>
      <c r="F42" s="59">
        <f>E42/F4</f>
        <v>147</v>
      </c>
    </row>
    <row r="43" ht="15.75" customHeight="1">
      <c r="A43" s="115"/>
      <c r="B43" s="69"/>
      <c r="C43" s="69"/>
      <c r="D43" s="119"/>
      <c r="E43" s="58">
        <f t="shared" si="1"/>
        <v>7056</v>
      </c>
      <c r="F43" s="59">
        <f>E43/F4</f>
        <v>147</v>
      </c>
    </row>
    <row r="44" ht="15.75" customHeight="1">
      <c r="A44" s="115"/>
      <c r="B44" s="69"/>
      <c r="C44" s="69"/>
      <c r="D44" s="119"/>
      <c r="E44" s="58">
        <f t="shared" si="1"/>
        <v>7056</v>
      </c>
      <c r="F44" s="59">
        <f>E44/F4</f>
        <v>147</v>
      </c>
    </row>
    <row r="45" ht="15.75" customHeight="1">
      <c r="A45" s="115"/>
      <c r="B45" s="69"/>
      <c r="C45" s="69"/>
      <c r="D45" s="119"/>
      <c r="E45" s="58">
        <f t="shared" si="1"/>
        <v>7056</v>
      </c>
      <c r="F45" s="59">
        <f>E45/F4</f>
        <v>147</v>
      </c>
    </row>
    <row r="46" ht="15.75" customHeight="1">
      <c r="A46" s="115"/>
      <c r="B46" s="69"/>
      <c r="C46" s="69"/>
      <c r="D46" s="119"/>
      <c r="E46" s="58">
        <f t="shared" si="1"/>
        <v>7056</v>
      </c>
      <c r="F46" s="59">
        <f>E46/F4</f>
        <v>147</v>
      </c>
    </row>
    <row r="47" ht="15.75" customHeight="1">
      <c r="A47" s="115"/>
      <c r="B47" s="69"/>
      <c r="C47" s="69"/>
      <c r="D47" s="119"/>
      <c r="E47" s="58">
        <f t="shared" si="1"/>
        <v>7056</v>
      </c>
      <c r="F47" s="59">
        <f>E47/F4</f>
        <v>147</v>
      </c>
    </row>
    <row r="48" ht="15.75" customHeight="1">
      <c r="A48" s="115"/>
      <c r="B48" s="69"/>
      <c r="C48" s="69"/>
      <c r="D48" s="119"/>
      <c r="E48" s="58">
        <f t="shared" si="1"/>
        <v>7056</v>
      </c>
      <c r="F48" s="59">
        <f>E48/F4</f>
        <v>147</v>
      </c>
    </row>
    <row r="49" ht="15.75" customHeight="1">
      <c r="A49" s="115"/>
      <c r="B49" s="69"/>
      <c r="C49" s="69"/>
      <c r="D49" s="119"/>
      <c r="E49" s="58">
        <f t="shared" si="1"/>
        <v>7056</v>
      </c>
      <c r="F49" s="59">
        <f>E49/F4</f>
        <v>147</v>
      </c>
    </row>
    <row r="50" ht="15.75" customHeight="1">
      <c r="A50" s="115"/>
      <c r="B50" s="69"/>
      <c r="C50" s="69"/>
      <c r="D50" s="119"/>
      <c r="E50" s="58">
        <f t="shared" si="1"/>
        <v>7056</v>
      </c>
      <c r="F50" s="59">
        <f>E50/F4</f>
        <v>147</v>
      </c>
    </row>
    <row r="51" ht="15.75" customHeight="1">
      <c r="A51" s="90"/>
      <c r="B51" s="69"/>
      <c r="C51" s="69"/>
      <c r="D51" s="119"/>
      <c r="E51" s="58">
        <f t="shared" si="1"/>
        <v>7056</v>
      </c>
      <c r="F51" s="59">
        <f>E51/F4</f>
        <v>147</v>
      </c>
    </row>
    <row r="52" ht="15.75" customHeight="1">
      <c r="D52" s="104"/>
      <c r="F52" s="121"/>
    </row>
    <row r="53" ht="15.75" customHeight="1">
      <c r="D53" s="104"/>
      <c r="F53" s="121"/>
    </row>
    <row r="54" ht="15.75" customHeight="1">
      <c r="D54" s="104"/>
      <c r="F54" s="121"/>
    </row>
    <row r="55" ht="15.75" customHeight="1">
      <c r="D55" s="104"/>
      <c r="F55" s="121"/>
    </row>
    <row r="56" ht="15.75" customHeight="1">
      <c r="D56" s="104"/>
      <c r="F56" s="121"/>
    </row>
    <row r="57" ht="15.75" customHeight="1">
      <c r="D57" s="104"/>
      <c r="F57" s="121"/>
    </row>
    <row r="58" ht="15.75" customHeight="1">
      <c r="D58" s="104"/>
      <c r="F58" s="121"/>
    </row>
    <row r="59" ht="15.75" customHeight="1">
      <c r="D59" s="104"/>
      <c r="F59" s="121"/>
    </row>
    <row r="60" ht="15.75" customHeight="1">
      <c r="D60" s="104"/>
      <c r="F60" s="121"/>
    </row>
    <row r="61" ht="15.75" customHeight="1">
      <c r="D61" s="104"/>
      <c r="F61" s="121"/>
    </row>
    <row r="62" ht="15.75" customHeight="1">
      <c r="D62" s="104"/>
      <c r="F62" s="121"/>
    </row>
    <row r="63" ht="15.75" customHeight="1">
      <c r="D63" s="104"/>
      <c r="F63" s="121"/>
    </row>
    <row r="64" ht="15.75" customHeight="1">
      <c r="D64" s="104"/>
      <c r="F64" s="121"/>
    </row>
    <row r="65" ht="15.75" customHeight="1">
      <c r="D65" s="104"/>
      <c r="F65" s="121"/>
    </row>
    <row r="66" ht="15.75" customHeight="1">
      <c r="D66" s="104"/>
      <c r="F66" s="121"/>
    </row>
    <row r="67" ht="15.75" customHeight="1">
      <c r="D67" s="104"/>
      <c r="F67" s="121"/>
    </row>
    <row r="68" ht="15.75" customHeight="1">
      <c r="D68" s="104"/>
      <c r="F68" s="121"/>
    </row>
    <row r="69" ht="15.75" customHeight="1">
      <c r="D69" s="104"/>
      <c r="F69" s="121"/>
    </row>
    <row r="70" ht="15.75" customHeight="1">
      <c r="D70" s="104"/>
      <c r="F70" s="121"/>
    </row>
    <row r="71" ht="15.75" customHeight="1">
      <c r="D71" s="104"/>
      <c r="F71" s="121"/>
    </row>
    <row r="72" ht="15.75" customHeight="1">
      <c r="D72" s="104"/>
      <c r="F72" s="121"/>
    </row>
    <row r="73" ht="15.75" customHeight="1">
      <c r="D73" s="104"/>
      <c r="F73" s="121"/>
    </row>
    <row r="74" ht="15.75" customHeight="1">
      <c r="D74" s="104"/>
      <c r="F74" s="121"/>
    </row>
    <row r="75" ht="15.75" customHeight="1">
      <c r="D75" s="104"/>
      <c r="F75" s="121"/>
    </row>
    <row r="76" ht="15.75" customHeight="1">
      <c r="D76" s="104"/>
      <c r="F76" s="121"/>
    </row>
    <row r="77" ht="15.75" customHeight="1">
      <c r="D77" s="104"/>
      <c r="F77" s="121"/>
    </row>
    <row r="78" ht="15.75" customHeight="1">
      <c r="D78" s="104"/>
      <c r="F78" s="121"/>
    </row>
    <row r="79" ht="15.75" customHeight="1">
      <c r="D79" s="104"/>
      <c r="F79" s="121"/>
    </row>
    <row r="80" ht="15.75" customHeight="1">
      <c r="D80" s="104"/>
      <c r="F80" s="121"/>
    </row>
    <row r="81" ht="15.75" customHeight="1">
      <c r="D81" s="104"/>
      <c r="F81" s="121"/>
    </row>
    <row r="82" ht="15.75" customHeight="1">
      <c r="D82" s="104"/>
      <c r="F82" s="121"/>
    </row>
    <row r="83" ht="15.75" customHeight="1">
      <c r="D83" s="104"/>
      <c r="F83" s="121"/>
    </row>
    <row r="84" ht="15.75" customHeight="1">
      <c r="D84" s="104"/>
      <c r="F84" s="121"/>
    </row>
    <row r="85" ht="15.75" customHeight="1">
      <c r="D85" s="104"/>
      <c r="F85" s="121"/>
    </row>
    <row r="86" ht="15.75" customHeight="1">
      <c r="D86" s="104"/>
      <c r="F86" s="121"/>
    </row>
    <row r="87" ht="15.75" customHeight="1">
      <c r="D87" s="104"/>
      <c r="F87" s="121"/>
    </row>
    <row r="88" ht="15.75" customHeight="1">
      <c r="D88" s="104"/>
      <c r="F88" s="121"/>
    </row>
    <row r="89" ht="15.75" customHeight="1">
      <c r="D89" s="104"/>
      <c r="F89" s="121"/>
    </row>
    <row r="90" ht="15.75" customHeight="1">
      <c r="D90" s="104"/>
      <c r="F90" s="121"/>
    </row>
    <row r="91" ht="15.75" customHeight="1">
      <c r="D91" s="104"/>
      <c r="F91" s="121"/>
    </row>
    <row r="92" ht="15.75" customHeight="1">
      <c r="D92" s="104"/>
      <c r="F92" s="121"/>
    </row>
    <row r="93" ht="15.75" customHeight="1">
      <c r="D93" s="104"/>
      <c r="F93" s="121"/>
    </row>
    <row r="94" ht="15.75" customHeight="1">
      <c r="D94" s="104"/>
      <c r="F94" s="121"/>
    </row>
    <row r="95" ht="15.75" customHeight="1">
      <c r="D95" s="104"/>
      <c r="F95" s="121"/>
    </row>
    <row r="96" ht="15.75" customHeight="1">
      <c r="D96" s="104"/>
      <c r="F96" s="121"/>
    </row>
    <row r="97" ht="15.75" customHeight="1">
      <c r="D97" s="104"/>
      <c r="F97" s="121"/>
    </row>
    <row r="98" ht="15.75" customHeight="1">
      <c r="D98" s="104"/>
      <c r="F98" s="121"/>
    </row>
    <row r="99" ht="15.75" customHeight="1">
      <c r="D99" s="104"/>
      <c r="F99" s="121"/>
    </row>
    <row r="100" ht="15.75" customHeight="1">
      <c r="D100" s="104"/>
      <c r="F100" s="121"/>
    </row>
    <row r="101" ht="15.75" customHeight="1">
      <c r="D101" s="104"/>
      <c r="F101" s="121"/>
    </row>
    <row r="102" ht="15.75" customHeight="1">
      <c r="D102" s="104"/>
      <c r="F102" s="121"/>
    </row>
    <row r="103" ht="15.75" customHeight="1">
      <c r="D103" s="104"/>
      <c r="F103" s="121"/>
    </row>
    <row r="104" ht="15.75" customHeight="1">
      <c r="D104" s="104"/>
      <c r="F104" s="121"/>
    </row>
    <row r="105" ht="15.75" customHeight="1">
      <c r="D105" s="104"/>
      <c r="F105" s="121"/>
    </row>
    <row r="106" ht="15.75" customHeight="1">
      <c r="D106" s="104"/>
      <c r="F106" s="121"/>
    </row>
    <row r="107" ht="15.75" customHeight="1">
      <c r="D107" s="104"/>
      <c r="F107" s="121"/>
    </row>
    <row r="108" ht="15.75" customHeight="1">
      <c r="D108" s="104"/>
      <c r="F108" s="121"/>
    </row>
    <row r="109" ht="15.75" customHeight="1">
      <c r="D109" s="104"/>
      <c r="F109" s="121"/>
    </row>
    <row r="110" ht="15.75" customHeight="1">
      <c r="D110" s="104"/>
      <c r="F110" s="121"/>
    </row>
    <row r="111" ht="15.75" customHeight="1">
      <c r="D111" s="104"/>
      <c r="F111" s="121"/>
    </row>
    <row r="112" ht="15.75" customHeight="1">
      <c r="D112" s="104"/>
      <c r="F112" s="121"/>
    </row>
    <row r="113" ht="15.75" customHeight="1">
      <c r="D113" s="104"/>
      <c r="F113" s="121"/>
    </row>
    <row r="114" ht="15.75" customHeight="1">
      <c r="D114" s="104"/>
      <c r="F114" s="121"/>
    </row>
    <row r="115" ht="15.75" customHeight="1">
      <c r="D115" s="104"/>
      <c r="F115" s="121"/>
    </row>
    <row r="116" ht="15.75" customHeight="1">
      <c r="D116" s="104"/>
      <c r="F116" s="121"/>
    </row>
    <row r="117" ht="15.75" customHeight="1">
      <c r="D117" s="104"/>
      <c r="F117" s="121"/>
    </row>
    <row r="118" ht="15.75" customHeight="1">
      <c r="D118" s="104"/>
      <c r="F118" s="121"/>
    </row>
    <row r="119" ht="15.75" customHeight="1">
      <c r="D119" s="104"/>
      <c r="F119" s="121"/>
    </row>
    <row r="120" ht="15.75" customHeight="1">
      <c r="D120" s="104"/>
      <c r="F120" s="121"/>
    </row>
    <row r="121" ht="15.75" customHeight="1">
      <c r="D121" s="104"/>
      <c r="F121" s="121"/>
    </row>
    <row r="122" ht="15.75" customHeight="1">
      <c r="D122" s="104"/>
      <c r="F122" s="121"/>
    </row>
    <row r="123" ht="15.75" customHeight="1">
      <c r="D123" s="104"/>
      <c r="F123" s="121"/>
    </row>
    <row r="124" ht="15.75" customHeight="1">
      <c r="D124" s="104"/>
      <c r="F124" s="121"/>
    </row>
    <row r="125" ht="15.75" customHeight="1">
      <c r="D125" s="104"/>
      <c r="F125" s="121"/>
    </row>
    <row r="126" ht="15.75" customHeight="1">
      <c r="D126" s="104"/>
      <c r="F126" s="121"/>
    </row>
    <row r="127" ht="15.75" customHeight="1">
      <c r="D127" s="104"/>
      <c r="F127" s="121"/>
    </row>
    <row r="128" ht="15.75" customHeight="1">
      <c r="D128" s="104"/>
      <c r="F128" s="121"/>
    </row>
    <row r="129" ht="15.75" customHeight="1">
      <c r="D129" s="104"/>
      <c r="F129" s="121"/>
    </row>
    <row r="130" ht="15.75" customHeight="1">
      <c r="D130" s="104"/>
      <c r="F130" s="121"/>
    </row>
    <row r="131" ht="15.75" customHeight="1">
      <c r="D131" s="104"/>
      <c r="F131" s="121"/>
    </row>
    <row r="132" ht="15.75" customHeight="1">
      <c r="D132" s="104"/>
      <c r="F132" s="121"/>
    </row>
    <row r="133" ht="15.75" customHeight="1">
      <c r="D133" s="104"/>
      <c r="F133" s="121"/>
    </row>
    <row r="134" ht="15.75" customHeight="1">
      <c r="D134" s="104"/>
      <c r="F134" s="121"/>
    </row>
    <row r="135" ht="15.75" customHeight="1">
      <c r="D135" s="104"/>
      <c r="F135" s="121"/>
    </row>
    <row r="136" ht="15.75" customHeight="1">
      <c r="D136" s="104"/>
      <c r="F136" s="121"/>
    </row>
    <row r="137" ht="15.75" customHeight="1">
      <c r="D137" s="104"/>
      <c r="F137" s="121"/>
    </row>
    <row r="138" ht="15.75" customHeight="1">
      <c r="D138" s="104"/>
      <c r="F138" s="121"/>
    </row>
    <row r="139" ht="15.75" customHeight="1">
      <c r="D139" s="104"/>
      <c r="F139" s="121"/>
    </row>
    <row r="140" ht="15.75" customHeight="1">
      <c r="D140" s="104"/>
      <c r="F140" s="121"/>
    </row>
    <row r="141" ht="15.75" customHeight="1">
      <c r="D141" s="104"/>
      <c r="F141" s="121"/>
    </row>
    <row r="142" ht="15.75" customHeight="1">
      <c r="D142" s="104"/>
      <c r="F142" s="121"/>
    </row>
    <row r="143" ht="15.75" customHeight="1">
      <c r="D143" s="104"/>
      <c r="F143" s="121"/>
    </row>
    <row r="144" ht="15.75" customHeight="1">
      <c r="D144" s="104"/>
      <c r="F144" s="121"/>
    </row>
    <row r="145" ht="15.75" customHeight="1">
      <c r="D145" s="104"/>
      <c r="F145" s="121"/>
    </row>
    <row r="146" ht="15.75" customHeight="1">
      <c r="D146" s="104"/>
      <c r="F146" s="121"/>
    </row>
    <row r="147" ht="15.75" customHeight="1">
      <c r="D147" s="104"/>
      <c r="F147" s="121"/>
    </row>
    <row r="148" ht="15.75" customHeight="1">
      <c r="D148" s="104"/>
      <c r="F148" s="121"/>
    </row>
    <row r="149" ht="15.75" customHeight="1">
      <c r="D149" s="104"/>
      <c r="F149" s="121"/>
    </row>
    <row r="150" ht="15.75" customHeight="1">
      <c r="D150" s="104"/>
      <c r="F150" s="121"/>
    </row>
    <row r="151" ht="15.75" customHeight="1">
      <c r="D151" s="104"/>
      <c r="F151" s="121"/>
    </row>
    <row r="152" ht="15.75" customHeight="1">
      <c r="D152" s="104"/>
      <c r="F152" s="121"/>
    </row>
    <row r="153" ht="15.75" customHeight="1">
      <c r="D153" s="104"/>
      <c r="F153" s="121"/>
    </row>
    <row r="154" ht="15.75" customHeight="1">
      <c r="D154" s="104"/>
      <c r="F154" s="121"/>
    </row>
    <row r="155" ht="15.75" customHeight="1">
      <c r="D155" s="104"/>
      <c r="F155" s="121"/>
    </row>
    <row r="156" ht="15.75" customHeight="1">
      <c r="D156" s="104"/>
      <c r="F156" s="121"/>
    </row>
    <row r="157" ht="15.75" customHeight="1">
      <c r="D157" s="104"/>
      <c r="F157" s="121"/>
    </row>
    <row r="158" ht="15.75" customHeight="1">
      <c r="D158" s="104"/>
      <c r="F158" s="121"/>
    </row>
    <row r="159" ht="15.75" customHeight="1">
      <c r="D159" s="104"/>
      <c r="F159" s="121"/>
    </row>
    <row r="160" ht="15.75" customHeight="1">
      <c r="D160" s="104"/>
      <c r="F160" s="121"/>
    </row>
    <row r="161" ht="15.75" customHeight="1">
      <c r="D161" s="104"/>
      <c r="F161" s="121"/>
    </row>
    <row r="162" ht="15.75" customHeight="1">
      <c r="D162" s="104"/>
      <c r="F162" s="121"/>
    </row>
    <row r="163" ht="15.75" customHeight="1">
      <c r="D163" s="104"/>
      <c r="F163" s="121"/>
    </row>
    <row r="164" ht="15.75" customHeight="1">
      <c r="D164" s="104"/>
      <c r="F164" s="121"/>
    </row>
    <row r="165" ht="15.75" customHeight="1">
      <c r="D165" s="104"/>
      <c r="F165" s="121"/>
    </row>
    <row r="166" ht="15.75" customHeight="1">
      <c r="D166" s="104"/>
      <c r="F166" s="121"/>
    </row>
    <row r="167" ht="15.75" customHeight="1">
      <c r="D167" s="104"/>
      <c r="F167" s="121"/>
    </row>
    <row r="168" ht="15.75" customHeight="1">
      <c r="D168" s="104"/>
      <c r="F168" s="121"/>
    </row>
    <row r="169" ht="15.75" customHeight="1">
      <c r="D169" s="104"/>
      <c r="F169" s="121"/>
    </row>
    <row r="170" ht="15.75" customHeight="1">
      <c r="D170" s="104"/>
      <c r="F170" s="121"/>
    </row>
    <row r="171" ht="15.75" customHeight="1">
      <c r="D171" s="104"/>
      <c r="F171" s="121"/>
    </row>
    <row r="172" ht="15.75" customHeight="1">
      <c r="D172" s="104"/>
      <c r="F172" s="121"/>
    </row>
    <row r="173" ht="15.75" customHeight="1">
      <c r="D173" s="104"/>
      <c r="F173" s="121"/>
    </row>
    <row r="174" ht="15.75" customHeight="1">
      <c r="D174" s="104"/>
      <c r="F174" s="121"/>
    </row>
    <row r="175" ht="15.75" customHeight="1">
      <c r="D175" s="104"/>
      <c r="F175" s="121"/>
    </row>
    <row r="176" ht="15.75" customHeight="1">
      <c r="D176" s="104"/>
      <c r="F176" s="121"/>
    </row>
    <row r="177" ht="15.75" customHeight="1">
      <c r="D177" s="104"/>
      <c r="F177" s="121"/>
    </row>
    <row r="178" ht="15.75" customHeight="1">
      <c r="D178" s="104"/>
      <c r="F178" s="121"/>
    </row>
    <row r="179" ht="15.75" customHeight="1">
      <c r="D179" s="104"/>
      <c r="F179" s="121"/>
    </row>
    <row r="180" ht="15.75" customHeight="1">
      <c r="D180" s="104"/>
      <c r="F180" s="121"/>
    </row>
    <row r="181" ht="15.75" customHeight="1">
      <c r="D181" s="104"/>
      <c r="F181" s="121"/>
    </row>
    <row r="182" ht="15.75" customHeight="1">
      <c r="D182" s="104"/>
      <c r="F182" s="121"/>
    </row>
    <row r="183" ht="15.75" customHeight="1">
      <c r="D183" s="104"/>
      <c r="F183" s="121"/>
    </row>
    <row r="184" ht="15.75" customHeight="1">
      <c r="D184" s="104"/>
      <c r="F184" s="121"/>
    </row>
    <row r="185" ht="15.75" customHeight="1">
      <c r="D185" s="104"/>
      <c r="F185" s="121"/>
    </row>
    <row r="186" ht="15.75" customHeight="1">
      <c r="D186" s="104"/>
      <c r="F186" s="121"/>
    </row>
    <row r="187" ht="15.75" customHeight="1">
      <c r="D187" s="104"/>
      <c r="F187" s="121"/>
    </row>
    <row r="188" ht="15.75" customHeight="1">
      <c r="D188" s="104"/>
      <c r="F188" s="121"/>
    </row>
    <row r="189" ht="15.75" customHeight="1">
      <c r="D189" s="104"/>
      <c r="F189" s="121"/>
    </row>
    <row r="190" ht="15.75" customHeight="1">
      <c r="D190" s="104"/>
      <c r="F190" s="121"/>
    </row>
    <row r="191" ht="15.75" customHeight="1">
      <c r="D191" s="104"/>
      <c r="F191" s="121"/>
    </row>
    <row r="192" ht="15.75" customHeight="1">
      <c r="D192" s="104"/>
      <c r="F192" s="121"/>
    </row>
    <row r="193" ht="15.75" customHeight="1">
      <c r="D193" s="104"/>
      <c r="F193" s="121"/>
    </row>
    <row r="194" ht="15.75" customHeight="1">
      <c r="D194" s="104"/>
      <c r="F194" s="121"/>
    </row>
    <row r="195" ht="15.75" customHeight="1">
      <c r="D195" s="104"/>
      <c r="F195" s="121"/>
    </row>
    <row r="196" ht="15.75" customHeight="1">
      <c r="D196" s="104"/>
      <c r="F196" s="121"/>
    </row>
    <row r="197" ht="15.75" customHeight="1">
      <c r="D197" s="104"/>
      <c r="F197" s="121"/>
    </row>
    <row r="198" ht="15.75" customHeight="1">
      <c r="D198" s="104"/>
      <c r="F198" s="121"/>
    </row>
    <row r="199" ht="15.75" customHeight="1">
      <c r="D199" s="104"/>
      <c r="F199" s="121"/>
    </row>
    <row r="200" ht="15.75" customHeight="1">
      <c r="D200" s="104"/>
      <c r="F200" s="121"/>
    </row>
    <row r="201" ht="15.75" customHeight="1">
      <c r="D201" s="104"/>
      <c r="F201" s="121"/>
    </row>
    <row r="202" ht="15.75" customHeight="1">
      <c r="D202" s="104"/>
      <c r="F202" s="121"/>
    </row>
    <row r="203" ht="15.75" customHeight="1">
      <c r="D203" s="104"/>
      <c r="F203" s="121"/>
    </row>
    <row r="204" ht="15.75" customHeight="1">
      <c r="D204" s="104"/>
      <c r="F204" s="121"/>
    </row>
    <row r="205" ht="15.75" customHeight="1">
      <c r="D205" s="104"/>
      <c r="F205" s="121"/>
    </row>
    <row r="206" ht="15.75" customHeight="1">
      <c r="D206" s="104"/>
      <c r="F206" s="121"/>
    </row>
    <row r="207" ht="15.75" customHeight="1">
      <c r="D207" s="104"/>
      <c r="F207" s="121"/>
    </row>
    <row r="208" ht="15.75" customHeight="1">
      <c r="D208" s="104"/>
      <c r="F208" s="121"/>
    </row>
    <row r="209" ht="15.75" customHeight="1">
      <c r="D209" s="104"/>
      <c r="F209" s="121"/>
    </row>
    <row r="210" ht="15.75" customHeight="1">
      <c r="D210" s="104"/>
      <c r="F210" s="121"/>
    </row>
    <row r="211" ht="15.75" customHeight="1">
      <c r="D211" s="104"/>
      <c r="F211" s="121"/>
    </row>
    <row r="212" ht="15.75" customHeight="1">
      <c r="D212" s="104"/>
      <c r="F212" s="121"/>
    </row>
    <row r="213" ht="15.75" customHeight="1">
      <c r="D213" s="104"/>
      <c r="F213" s="121"/>
    </row>
    <row r="214" ht="15.75" customHeight="1">
      <c r="D214" s="104"/>
      <c r="F214" s="121"/>
    </row>
    <row r="215" ht="15.75" customHeight="1">
      <c r="D215" s="104"/>
      <c r="F215" s="121"/>
    </row>
    <row r="216" ht="15.75" customHeight="1">
      <c r="D216" s="104"/>
      <c r="F216" s="121"/>
    </row>
    <row r="217" ht="15.75" customHeight="1">
      <c r="D217" s="104"/>
      <c r="F217" s="121"/>
    </row>
    <row r="218" ht="15.75" customHeight="1">
      <c r="D218" s="104"/>
      <c r="F218" s="121"/>
    </row>
    <row r="219" ht="15.75" customHeight="1">
      <c r="D219" s="104"/>
      <c r="F219" s="121"/>
    </row>
    <row r="220" ht="15.75" customHeight="1">
      <c r="D220" s="104"/>
      <c r="F220" s="121"/>
    </row>
    <row r="221" ht="15.75" customHeight="1">
      <c r="D221" s="104"/>
      <c r="F221" s="121"/>
    </row>
    <row r="222" ht="15.75" customHeight="1">
      <c r="D222" s="104"/>
      <c r="F222" s="121"/>
    </row>
    <row r="223" ht="15.75" customHeight="1">
      <c r="D223" s="104"/>
      <c r="F223" s="121"/>
    </row>
    <row r="224" ht="15.75" customHeight="1">
      <c r="D224" s="104"/>
      <c r="F224" s="121"/>
    </row>
    <row r="225" ht="15.75" customHeight="1">
      <c r="D225" s="104"/>
      <c r="F225" s="121"/>
    </row>
    <row r="226" ht="15.75" customHeight="1">
      <c r="D226" s="104"/>
      <c r="F226" s="121"/>
    </row>
    <row r="227" ht="15.75" customHeight="1">
      <c r="D227" s="104"/>
      <c r="F227" s="121"/>
    </row>
    <row r="228" ht="15.75" customHeight="1">
      <c r="D228" s="104"/>
      <c r="F228" s="121"/>
    </row>
    <row r="229" ht="15.75" customHeight="1">
      <c r="D229" s="104"/>
      <c r="F229" s="121"/>
    </row>
    <row r="230" ht="15.75" customHeight="1">
      <c r="D230" s="104"/>
      <c r="F230" s="121"/>
    </row>
    <row r="231" ht="15.75" customHeight="1">
      <c r="D231" s="104"/>
      <c r="F231" s="121"/>
    </row>
    <row r="232" ht="15.75" customHeight="1">
      <c r="D232" s="104"/>
      <c r="F232" s="121"/>
    </row>
    <row r="233" ht="15.75" customHeight="1">
      <c r="D233" s="104"/>
      <c r="F233" s="121"/>
    </row>
    <row r="234" ht="15.75" customHeight="1">
      <c r="D234" s="104"/>
      <c r="F234" s="121"/>
    </row>
    <row r="235" ht="15.75" customHeight="1">
      <c r="D235" s="104"/>
      <c r="F235" s="121"/>
    </row>
    <row r="236" ht="15.75" customHeight="1">
      <c r="D236" s="104"/>
      <c r="F236" s="121"/>
    </row>
    <row r="237" ht="15.75" customHeight="1">
      <c r="D237" s="104"/>
      <c r="F237" s="121"/>
    </row>
    <row r="238" ht="15.75" customHeight="1">
      <c r="D238" s="104"/>
      <c r="F238" s="121"/>
    </row>
    <row r="239" ht="15.75" customHeight="1">
      <c r="D239" s="104"/>
      <c r="F239" s="121"/>
    </row>
    <row r="240" ht="15.75" customHeight="1">
      <c r="D240" s="104"/>
      <c r="F240" s="121"/>
    </row>
    <row r="241" ht="15.75" customHeight="1">
      <c r="D241" s="104"/>
      <c r="F241" s="121"/>
    </row>
    <row r="242" ht="15.75" customHeight="1">
      <c r="D242" s="104"/>
      <c r="F242" s="121"/>
    </row>
    <row r="243" ht="15.75" customHeight="1">
      <c r="D243" s="104"/>
      <c r="F243" s="121"/>
    </row>
    <row r="244" ht="15.75" customHeight="1">
      <c r="D244" s="104"/>
      <c r="F244" s="121"/>
    </row>
    <row r="245" ht="15.75" customHeight="1">
      <c r="D245" s="104"/>
      <c r="F245" s="121"/>
    </row>
    <row r="246" ht="15.75" customHeight="1">
      <c r="D246" s="104"/>
      <c r="F246" s="121"/>
    </row>
    <row r="247" ht="15.75" customHeight="1">
      <c r="D247" s="104"/>
      <c r="F247" s="121"/>
    </row>
    <row r="248" ht="15.75" customHeight="1">
      <c r="D248" s="104"/>
      <c r="F248" s="121"/>
    </row>
    <row r="249" ht="15.75" customHeight="1">
      <c r="D249" s="104"/>
      <c r="F249" s="121"/>
    </row>
    <row r="250" ht="15.75" customHeight="1">
      <c r="D250" s="104"/>
      <c r="F250" s="121"/>
    </row>
    <row r="251" ht="15.75" customHeight="1">
      <c r="D251" s="104"/>
      <c r="F251" s="121"/>
    </row>
    <row r="252" ht="15.75" customHeight="1">
      <c r="D252" s="104"/>
      <c r="F252" s="121"/>
    </row>
    <row r="253" ht="15.75" customHeight="1">
      <c r="D253" s="104"/>
      <c r="F253" s="121"/>
    </row>
    <row r="254" ht="15.75" customHeight="1">
      <c r="D254" s="104"/>
      <c r="F254" s="121"/>
    </row>
    <row r="255" ht="15.75" customHeight="1">
      <c r="D255" s="104"/>
      <c r="F255" s="121"/>
    </row>
    <row r="256" ht="15.75" customHeight="1">
      <c r="D256" s="104"/>
      <c r="F256" s="121"/>
    </row>
    <row r="257" ht="15.75" customHeight="1">
      <c r="D257" s="104"/>
      <c r="F257" s="121"/>
    </row>
    <row r="258" ht="15.75" customHeight="1">
      <c r="D258" s="104"/>
      <c r="F258" s="121"/>
    </row>
    <row r="259" ht="15.75" customHeight="1">
      <c r="D259" s="104"/>
      <c r="F259" s="121"/>
    </row>
    <row r="260" ht="15.75" customHeight="1">
      <c r="D260" s="104"/>
      <c r="F260" s="121"/>
    </row>
    <row r="261" ht="15.75" customHeight="1">
      <c r="D261" s="104"/>
      <c r="F261" s="121"/>
    </row>
    <row r="262" ht="15.75" customHeight="1">
      <c r="D262" s="104"/>
      <c r="F262" s="121"/>
    </row>
    <row r="263" ht="15.75" customHeight="1">
      <c r="D263" s="104"/>
      <c r="F263" s="121"/>
    </row>
    <row r="264" ht="15.75" customHeight="1">
      <c r="D264" s="104"/>
      <c r="F264" s="121"/>
    </row>
    <row r="265" ht="15.75" customHeight="1">
      <c r="D265" s="104"/>
      <c r="F265" s="121"/>
    </row>
    <row r="266" ht="15.75" customHeight="1">
      <c r="D266" s="104"/>
      <c r="F266" s="121"/>
    </row>
    <row r="267" ht="15.75" customHeight="1">
      <c r="D267" s="104"/>
      <c r="F267" s="121"/>
    </row>
    <row r="268" ht="15.75" customHeight="1">
      <c r="D268" s="104"/>
      <c r="F268" s="121"/>
    </row>
    <row r="269" ht="15.75" customHeight="1">
      <c r="D269" s="104"/>
      <c r="F269" s="121"/>
    </row>
    <row r="270" ht="15.75" customHeight="1">
      <c r="D270" s="104"/>
      <c r="F270" s="121"/>
    </row>
    <row r="271" ht="15.75" customHeight="1">
      <c r="D271" s="104"/>
      <c r="F271" s="121"/>
    </row>
    <row r="272" ht="15.75" customHeight="1">
      <c r="D272" s="104"/>
      <c r="F272" s="121"/>
    </row>
    <row r="273" ht="15.75" customHeight="1">
      <c r="D273" s="104"/>
      <c r="F273" s="121"/>
    </row>
    <row r="274" ht="15.75" customHeight="1">
      <c r="D274" s="104"/>
      <c r="F274" s="121"/>
    </row>
    <row r="275" ht="15.75" customHeight="1">
      <c r="D275" s="104"/>
      <c r="F275" s="121"/>
    </row>
    <row r="276" ht="15.75" customHeight="1">
      <c r="D276" s="104"/>
      <c r="F276" s="121"/>
    </row>
    <row r="277" ht="15.75" customHeight="1">
      <c r="D277" s="104"/>
      <c r="F277" s="121"/>
    </row>
    <row r="278" ht="15.75" customHeight="1">
      <c r="D278" s="104"/>
      <c r="F278" s="121"/>
    </row>
    <row r="279" ht="15.75" customHeight="1">
      <c r="D279" s="104"/>
      <c r="F279" s="121"/>
    </row>
    <row r="280" ht="15.75" customHeight="1">
      <c r="D280" s="104"/>
      <c r="F280" s="121"/>
    </row>
    <row r="281" ht="15.75" customHeight="1">
      <c r="D281" s="104"/>
      <c r="F281" s="121"/>
    </row>
    <row r="282" ht="15.75" customHeight="1">
      <c r="D282" s="104"/>
      <c r="F282" s="121"/>
    </row>
    <row r="283" ht="15.75" customHeight="1">
      <c r="D283" s="104"/>
      <c r="F283" s="121"/>
    </row>
    <row r="284" ht="15.75" customHeight="1">
      <c r="D284" s="104"/>
      <c r="F284" s="121"/>
    </row>
    <row r="285" ht="15.75" customHeight="1">
      <c r="D285" s="104"/>
      <c r="F285" s="121"/>
    </row>
    <row r="286" ht="15.75" customHeight="1">
      <c r="D286" s="104"/>
      <c r="F286" s="121"/>
    </row>
    <row r="287" ht="15.75" customHeight="1">
      <c r="D287" s="104"/>
      <c r="F287" s="121"/>
    </row>
    <row r="288" ht="15.75" customHeight="1">
      <c r="D288" s="104"/>
      <c r="F288" s="121"/>
    </row>
    <row r="289" ht="15.75" customHeight="1">
      <c r="D289" s="104"/>
      <c r="F289" s="121"/>
    </row>
    <row r="290" ht="15.75" customHeight="1">
      <c r="D290" s="104"/>
      <c r="F290" s="121"/>
    </row>
    <row r="291" ht="15.75" customHeight="1">
      <c r="D291" s="104"/>
      <c r="F291" s="121"/>
    </row>
    <row r="292" ht="15.75" customHeight="1">
      <c r="D292" s="104"/>
      <c r="F292" s="121"/>
    </row>
    <row r="293" ht="15.75" customHeight="1">
      <c r="D293" s="104"/>
      <c r="F293" s="121"/>
    </row>
    <row r="294" ht="15.75" customHeight="1">
      <c r="D294" s="104"/>
      <c r="F294" s="121"/>
    </row>
    <row r="295" ht="15.75" customHeight="1">
      <c r="D295" s="104"/>
      <c r="F295" s="121"/>
    </row>
    <row r="296" ht="15.75" customHeight="1">
      <c r="D296" s="104"/>
      <c r="F296" s="121"/>
    </row>
    <row r="297" ht="15.75" customHeight="1">
      <c r="D297" s="104"/>
      <c r="F297" s="121"/>
    </row>
    <row r="298" ht="15.75" customHeight="1">
      <c r="D298" s="104"/>
      <c r="F298" s="121"/>
    </row>
    <row r="299" ht="15.75" customHeight="1">
      <c r="D299" s="104"/>
      <c r="F299" s="121"/>
    </row>
    <row r="300" ht="15.75" customHeight="1">
      <c r="D300" s="104"/>
      <c r="F300" s="121"/>
    </row>
    <row r="301" ht="15.75" customHeight="1">
      <c r="D301" s="104"/>
      <c r="F301" s="121"/>
    </row>
    <row r="302" ht="15.75" customHeight="1">
      <c r="D302" s="104"/>
      <c r="F302" s="121"/>
    </row>
    <row r="303" ht="15.75" customHeight="1">
      <c r="D303" s="104"/>
      <c r="F303" s="121"/>
    </row>
    <row r="304" ht="15.75" customHeight="1">
      <c r="D304" s="104"/>
      <c r="F304" s="121"/>
    </row>
    <row r="305" ht="15.75" customHeight="1">
      <c r="D305" s="104"/>
      <c r="F305" s="121"/>
    </row>
    <row r="306" ht="15.75" customHeight="1">
      <c r="D306" s="104"/>
      <c r="F306" s="121"/>
    </row>
    <row r="307" ht="15.75" customHeight="1">
      <c r="D307" s="104"/>
      <c r="F307" s="121"/>
    </row>
    <row r="308" ht="15.75" customHeight="1">
      <c r="D308" s="104"/>
      <c r="F308" s="121"/>
    </row>
    <row r="309" ht="15.75" customHeight="1">
      <c r="D309" s="104"/>
      <c r="F309" s="121"/>
    </row>
    <row r="310" ht="15.75" customHeight="1">
      <c r="D310" s="104"/>
      <c r="F310" s="121"/>
    </row>
    <row r="311" ht="15.75" customHeight="1">
      <c r="D311" s="104"/>
      <c r="F311" s="121"/>
    </row>
    <row r="312" ht="15.75" customHeight="1">
      <c r="D312" s="104"/>
      <c r="F312" s="121"/>
    </row>
    <row r="313" ht="15.75" customHeight="1">
      <c r="D313" s="104"/>
      <c r="F313" s="121"/>
    </row>
    <row r="314" ht="15.75" customHeight="1">
      <c r="D314" s="104"/>
      <c r="F314" s="121"/>
    </row>
    <row r="315" ht="15.75" customHeight="1">
      <c r="D315" s="104"/>
      <c r="F315" s="121"/>
    </row>
    <row r="316" ht="15.75" customHeight="1">
      <c r="D316" s="104"/>
      <c r="F316" s="121"/>
    </row>
    <row r="317" ht="15.75" customHeight="1">
      <c r="D317" s="104"/>
      <c r="F317" s="121"/>
    </row>
    <row r="318" ht="15.75" customHeight="1">
      <c r="D318" s="104"/>
      <c r="F318" s="121"/>
    </row>
    <row r="319" ht="15.75" customHeight="1">
      <c r="D319" s="104"/>
      <c r="F319" s="121"/>
    </row>
    <row r="320" ht="15.75" customHeight="1">
      <c r="D320" s="104"/>
      <c r="F320" s="121"/>
    </row>
    <row r="321" ht="15.75" customHeight="1">
      <c r="D321" s="104"/>
      <c r="F321" s="121"/>
    </row>
    <row r="322" ht="15.75" customHeight="1">
      <c r="D322" s="104"/>
      <c r="F322" s="121"/>
    </row>
    <row r="323" ht="15.75" customHeight="1">
      <c r="D323" s="104"/>
      <c r="F323" s="121"/>
    </row>
    <row r="324" ht="15.75" customHeight="1">
      <c r="D324" s="104"/>
      <c r="F324" s="121"/>
    </row>
    <row r="325" ht="15.75" customHeight="1">
      <c r="D325" s="104"/>
      <c r="F325" s="121"/>
    </row>
    <row r="326" ht="15.75" customHeight="1">
      <c r="D326" s="104"/>
      <c r="F326" s="121"/>
    </row>
    <row r="327" ht="15.75" customHeight="1">
      <c r="D327" s="104"/>
      <c r="F327" s="121"/>
    </row>
    <row r="328" ht="15.75" customHeight="1">
      <c r="D328" s="104"/>
      <c r="F328" s="121"/>
    </row>
    <row r="329" ht="15.75" customHeight="1">
      <c r="D329" s="104"/>
      <c r="F329" s="121"/>
    </row>
    <row r="330" ht="15.75" customHeight="1">
      <c r="D330" s="104"/>
      <c r="F330" s="121"/>
    </row>
    <row r="331" ht="15.75" customHeight="1">
      <c r="D331" s="104"/>
      <c r="F331" s="121"/>
    </row>
    <row r="332" ht="15.75" customHeight="1">
      <c r="D332" s="104"/>
      <c r="F332" s="121"/>
    </row>
    <row r="333" ht="15.75" customHeight="1">
      <c r="D333" s="104"/>
      <c r="F333" s="121"/>
    </row>
    <row r="334" ht="15.75" customHeight="1">
      <c r="D334" s="104"/>
      <c r="F334" s="121"/>
    </row>
    <row r="335" ht="15.75" customHeight="1">
      <c r="D335" s="104"/>
      <c r="F335" s="121"/>
    </row>
    <row r="336" ht="15.75" customHeight="1">
      <c r="D336" s="104"/>
      <c r="F336" s="121"/>
    </row>
    <row r="337" ht="15.75" customHeight="1">
      <c r="D337" s="104"/>
      <c r="F337" s="121"/>
    </row>
    <row r="338" ht="15.75" customHeight="1">
      <c r="D338" s="104"/>
      <c r="F338" s="121"/>
    </row>
    <row r="339" ht="15.75" customHeight="1">
      <c r="D339" s="104"/>
      <c r="F339" s="121"/>
    </row>
    <row r="340" ht="15.75" customHeight="1">
      <c r="D340" s="104"/>
      <c r="F340" s="121"/>
    </row>
    <row r="341" ht="15.75" customHeight="1">
      <c r="D341" s="104"/>
      <c r="F341" s="121"/>
    </row>
    <row r="342" ht="15.75" customHeight="1">
      <c r="D342" s="104"/>
      <c r="F342" s="121"/>
    </row>
    <row r="343" ht="15.75" customHeight="1">
      <c r="D343" s="104"/>
      <c r="F343" s="121"/>
    </row>
    <row r="344" ht="15.75" customHeight="1">
      <c r="D344" s="104"/>
      <c r="F344" s="121"/>
    </row>
    <row r="345" ht="15.75" customHeight="1">
      <c r="D345" s="104"/>
      <c r="F345" s="121"/>
    </row>
    <row r="346" ht="15.75" customHeight="1">
      <c r="D346" s="104"/>
      <c r="F346" s="121"/>
    </row>
    <row r="347" ht="15.75" customHeight="1">
      <c r="D347" s="104"/>
      <c r="F347" s="121"/>
    </row>
    <row r="348" ht="15.75" customHeight="1">
      <c r="D348" s="104"/>
      <c r="F348" s="121"/>
    </row>
    <row r="349" ht="15.75" customHeight="1">
      <c r="D349" s="104"/>
      <c r="F349" s="121"/>
    </row>
    <row r="350" ht="15.75" customHeight="1">
      <c r="D350" s="104"/>
      <c r="F350" s="121"/>
    </row>
    <row r="351" ht="15.75" customHeight="1">
      <c r="D351" s="104"/>
      <c r="F351" s="121"/>
    </row>
    <row r="352" ht="15.75" customHeight="1">
      <c r="D352" s="104"/>
      <c r="F352" s="121"/>
    </row>
    <row r="353" ht="15.75" customHeight="1">
      <c r="D353" s="104"/>
      <c r="F353" s="121"/>
    </row>
    <row r="354" ht="15.75" customHeight="1">
      <c r="D354" s="104"/>
      <c r="F354" s="121"/>
    </row>
    <row r="355" ht="15.75" customHeight="1">
      <c r="D355" s="104"/>
      <c r="F355" s="121"/>
    </row>
    <row r="356" ht="15.75" customHeight="1">
      <c r="D356" s="104"/>
      <c r="F356" s="121"/>
    </row>
    <row r="357" ht="15.75" customHeight="1">
      <c r="D357" s="104"/>
      <c r="F357" s="121"/>
    </row>
    <row r="358" ht="15.75" customHeight="1">
      <c r="D358" s="104"/>
      <c r="F358" s="121"/>
    </row>
    <row r="359" ht="15.75" customHeight="1">
      <c r="D359" s="104"/>
      <c r="F359" s="121"/>
    </row>
    <row r="360" ht="15.75" customHeight="1">
      <c r="D360" s="104"/>
      <c r="F360" s="121"/>
    </row>
    <row r="361" ht="15.75" customHeight="1">
      <c r="D361" s="104"/>
      <c r="F361" s="121"/>
    </row>
    <row r="362" ht="15.75" customHeight="1">
      <c r="D362" s="104"/>
      <c r="F362" s="121"/>
    </row>
    <row r="363" ht="15.75" customHeight="1">
      <c r="D363" s="104"/>
      <c r="F363" s="121"/>
    </row>
    <row r="364" ht="15.75" customHeight="1">
      <c r="D364" s="104"/>
      <c r="F364" s="121"/>
    </row>
    <row r="365" ht="15.75" customHeight="1">
      <c r="D365" s="104"/>
      <c r="F365" s="121"/>
    </row>
    <row r="366" ht="15.75" customHeight="1">
      <c r="D366" s="104"/>
      <c r="F366" s="121"/>
    </row>
    <row r="367" ht="15.75" customHeight="1">
      <c r="D367" s="104"/>
      <c r="F367" s="121"/>
    </row>
    <row r="368" ht="15.75" customHeight="1">
      <c r="D368" s="104"/>
      <c r="F368" s="121"/>
    </row>
    <row r="369" ht="15.75" customHeight="1">
      <c r="D369" s="104"/>
      <c r="F369" s="121"/>
    </row>
    <row r="370" ht="15.75" customHeight="1">
      <c r="D370" s="104"/>
      <c r="F370" s="121"/>
    </row>
    <row r="371" ht="15.75" customHeight="1">
      <c r="D371" s="104"/>
      <c r="F371" s="121"/>
    </row>
    <row r="372" ht="15.75" customHeight="1">
      <c r="D372" s="104"/>
      <c r="F372" s="121"/>
    </row>
    <row r="373" ht="15.75" customHeight="1">
      <c r="D373" s="104"/>
      <c r="F373" s="121"/>
    </row>
    <row r="374" ht="15.75" customHeight="1">
      <c r="D374" s="104"/>
      <c r="F374" s="121"/>
    </row>
    <row r="375" ht="15.75" customHeight="1">
      <c r="D375" s="104"/>
      <c r="F375" s="121"/>
    </row>
    <row r="376" ht="15.75" customHeight="1">
      <c r="D376" s="104"/>
      <c r="F376" s="121"/>
    </row>
    <row r="377" ht="15.75" customHeight="1">
      <c r="D377" s="104"/>
      <c r="F377" s="121"/>
    </row>
    <row r="378" ht="15.75" customHeight="1">
      <c r="D378" s="104"/>
      <c r="F378" s="121"/>
    </row>
    <row r="379" ht="15.75" customHeight="1">
      <c r="D379" s="104"/>
      <c r="F379" s="121"/>
    </row>
    <row r="380" ht="15.75" customHeight="1">
      <c r="D380" s="104"/>
      <c r="F380" s="121"/>
    </row>
    <row r="381" ht="15.75" customHeight="1">
      <c r="D381" s="104"/>
      <c r="F381" s="121"/>
    </row>
    <row r="382" ht="15.75" customHeight="1">
      <c r="D382" s="104"/>
      <c r="F382" s="121"/>
    </row>
    <row r="383" ht="15.75" customHeight="1">
      <c r="D383" s="104"/>
      <c r="F383" s="121"/>
    </row>
    <row r="384" ht="15.75" customHeight="1">
      <c r="D384" s="104"/>
      <c r="F384" s="121"/>
    </row>
    <row r="385" ht="15.75" customHeight="1">
      <c r="D385" s="104"/>
      <c r="F385" s="121"/>
    </row>
    <row r="386" ht="15.75" customHeight="1">
      <c r="D386" s="104"/>
      <c r="F386" s="121"/>
    </row>
    <row r="387" ht="15.75" customHeight="1">
      <c r="D387" s="104"/>
      <c r="F387" s="121"/>
    </row>
    <row r="388" ht="15.75" customHeight="1">
      <c r="D388" s="104"/>
      <c r="F388" s="121"/>
    </row>
    <row r="389" ht="15.75" customHeight="1">
      <c r="D389" s="104"/>
      <c r="F389" s="121"/>
    </row>
    <row r="390" ht="15.75" customHeight="1">
      <c r="D390" s="104"/>
      <c r="F390" s="121"/>
    </row>
    <row r="391" ht="15.75" customHeight="1">
      <c r="D391" s="104"/>
      <c r="F391" s="121"/>
    </row>
    <row r="392" ht="15.75" customHeight="1">
      <c r="D392" s="104"/>
      <c r="F392" s="121"/>
    </row>
    <row r="393" ht="15.75" customHeight="1">
      <c r="D393" s="104"/>
      <c r="F393" s="121"/>
    </row>
    <row r="394" ht="15.75" customHeight="1">
      <c r="D394" s="104"/>
      <c r="F394" s="121"/>
    </row>
    <row r="395" ht="15.75" customHeight="1">
      <c r="D395" s="104"/>
      <c r="F395" s="121"/>
    </row>
    <row r="396" ht="15.75" customHeight="1">
      <c r="D396" s="104"/>
      <c r="F396" s="121"/>
    </row>
    <row r="397" ht="15.75" customHeight="1">
      <c r="D397" s="104"/>
      <c r="F397" s="121"/>
    </row>
    <row r="398" ht="15.75" customHeight="1">
      <c r="D398" s="104"/>
      <c r="F398" s="121"/>
    </row>
    <row r="399" ht="15.75" customHeight="1">
      <c r="D399" s="104"/>
      <c r="F399" s="121"/>
    </row>
    <row r="400" ht="15.75" customHeight="1">
      <c r="D400" s="104"/>
      <c r="F400" s="121"/>
    </row>
    <row r="401" ht="15.75" customHeight="1">
      <c r="D401" s="104"/>
      <c r="F401" s="121"/>
    </row>
    <row r="402" ht="15.75" customHeight="1">
      <c r="D402" s="104"/>
      <c r="F402" s="121"/>
    </row>
    <row r="403" ht="15.75" customHeight="1">
      <c r="D403" s="104"/>
      <c r="F403" s="121"/>
    </row>
    <row r="404" ht="15.75" customHeight="1">
      <c r="D404" s="104"/>
      <c r="F404" s="121"/>
    </row>
    <row r="405" ht="15.75" customHeight="1">
      <c r="D405" s="104"/>
      <c r="F405" s="121"/>
    </row>
    <row r="406" ht="15.75" customHeight="1">
      <c r="D406" s="104"/>
      <c r="F406" s="121"/>
    </row>
    <row r="407" ht="15.75" customHeight="1">
      <c r="D407" s="104"/>
      <c r="F407" s="121"/>
    </row>
    <row r="408" ht="15.75" customHeight="1">
      <c r="D408" s="104"/>
      <c r="F408" s="121"/>
    </row>
    <row r="409" ht="15.75" customHeight="1">
      <c r="D409" s="104"/>
      <c r="F409" s="121"/>
    </row>
    <row r="410" ht="15.75" customHeight="1">
      <c r="D410" s="104"/>
      <c r="F410" s="121"/>
    </row>
    <row r="411" ht="15.75" customHeight="1">
      <c r="D411" s="104"/>
      <c r="F411" s="121"/>
    </row>
    <row r="412" ht="15.75" customHeight="1">
      <c r="D412" s="104"/>
      <c r="F412" s="121"/>
    </row>
    <row r="413" ht="15.75" customHeight="1">
      <c r="D413" s="104"/>
      <c r="F413" s="121"/>
    </row>
    <row r="414" ht="15.75" customHeight="1">
      <c r="D414" s="104"/>
      <c r="F414" s="121"/>
    </row>
    <row r="415" ht="15.75" customHeight="1">
      <c r="D415" s="104"/>
      <c r="F415" s="121"/>
    </row>
    <row r="416" ht="15.75" customHeight="1">
      <c r="D416" s="104"/>
      <c r="F416" s="121"/>
    </row>
    <row r="417" ht="15.75" customHeight="1">
      <c r="D417" s="104"/>
      <c r="F417" s="121"/>
    </row>
    <row r="418" ht="15.75" customHeight="1">
      <c r="D418" s="104"/>
      <c r="F418" s="121"/>
    </row>
    <row r="419" ht="15.75" customHeight="1">
      <c r="D419" s="104"/>
      <c r="F419" s="121"/>
    </row>
    <row r="420" ht="15.75" customHeight="1">
      <c r="D420" s="104"/>
      <c r="F420" s="121"/>
    </row>
    <row r="421" ht="15.75" customHeight="1">
      <c r="D421" s="104"/>
      <c r="F421" s="121"/>
    </row>
    <row r="422" ht="15.75" customHeight="1">
      <c r="D422" s="104"/>
      <c r="F422" s="121"/>
    </row>
    <row r="423" ht="15.75" customHeight="1">
      <c r="D423" s="104"/>
      <c r="F423" s="121"/>
    </row>
    <row r="424" ht="15.75" customHeight="1">
      <c r="D424" s="104"/>
      <c r="F424" s="121"/>
    </row>
    <row r="425" ht="15.75" customHeight="1">
      <c r="D425" s="104"/>
      <c r="F425" s="121"/>
    </row>
    <row r="426" ht="15.75" customHeight="1">
      <c r="D426" s="104"/>
      <c r="F426" s="121"/>
    </row>
    <row r="427" ht="15.75" customHeight="1">
      <c r="D427" s="104"/>
      <c r="F427" s="121"/>
    </row>
    <row r="428" ht="15.75" customHeight="1">
      <c r="D428" s="104"/>
      <c r="F428" s="121"/>
    </row>
    <row r="429" ht="15.75" customHeight="1">
      <c r="D429" s="104"/>
      <c r="F429" s="121"/>
    </row>
    <row r="430" ht="15.75" customHeight="1">
      <c r="D430" s="104"/>
      <c r="F430" s="121"/>
    </row>
    <row r="431" ht="15.75" customHeight="1">
      <c r="D431" s="104"/>
      <c r="F431" s="121"/>
    </row>
    <row r="432" ht="15.75" customHeight="1">
      <c r="D432" s="104"/>
      <c r="F432" s="121"/>
    </row>
    <row r="433" ht="15.75" customHeight="1">
      <c r="D433" s="104"/>
      <c r="F433" s="121"/>
    </row>
    <row r="434" ht="15.75" customHeight="1">
      <c r="D434" s="104"/>
      <c r="F434" s="121"/>
    </row>
    <row r="435" ht="15.75" customHeight="1">
      <c r="D435" s="104"/>
      <c r="F435" s="121"/>
    </row>
    <row r="436" ht="15.75" customHeight="1">
      <c r="D436" s="104"/>
      <c r="F436" s="121"/>
    </row>
    <row r="437" ht="15.75" customHeight="1">
      <c r="D437" s="104"/>
      <c r="F437" s="121"/>
    </row>
    <row r="438" ht="15.75" customHeight="1">
      <c r="D438" s="104"/>
      <c r="F438" s="121"/>
    </row>
    <row r="439" ht="15.75" customHeight="1">
      <c r="D439" s="104"/>
      <c r="F439" s="121"/>
    </row>
    <row r="440" ht="15.75" customHeight="1">
      <c r="D440" s="104"/>
      <c r="F440" s="121"/>
    </row>
    <row r="441" ht="15.75" customHeight="1">
      <c r="D441" s="104"/>
      <c r="F441" s="121"/>
    </row>
    <row r="442" ht="15.75" customHeight="1">
      <c r="D442" s="104"/>
      <c r="F442" s="121"/>
    </row>
    <row r="443" ht="15.75" customHeight="1">
      <c r="D443" s="104"/>
      <c r="F443" s="121"/>
    </row>
    <row r="444" ht="15.75" customHeight="1">
      <c r="D444" s="104"/>
      <c r="F444" s="121"/>
    </row>
    <row r="445" ht="15.75" customHeight="1">
      <c r="D445" s="104"/>
      <c r="F445" s="121"/>
    </row>
    <row r="446" ht="15.75" customHeight="1">
      <c r="D446" s="104"/>
      <c r="F446" s="121"/>
    </row>
    <row r="447" ht="15.75" customHeight="1">
      <c r="D447" s="104"/>
      <c r="F447" s="121"/>
    </row>
    <row r="448" ht="15.75" customHeight="1">
      <c r="D448" s="104"/>
      <c r="F448" s="121"/>
    </row>
    <row r="449" ht="15.75" customHeight="1">
      <c r="D449" s="104"/>
      <c r="F449" s="121"/>
    </row>
    <row r="450" ht="15.75" customHeight="1">
      <c r="D450" s="104"/>
      <c r="F450" s="121"/>
    </row>
    <row r="451" ht="15.75" customHeight="1">
      <c r="D451" s="104"/>
      <c r="F451" s="121"/>
    </row>
    <row r="452" ht="15.75" customHeight="1">
      <c r="D452" s="104"/>
      <c r="F452" s="121"/>
    </row>
    <row r="453" ht="15.75" customHeight="1">
      <c r="D453" s="104"/>
      <c r="F453" s="121"/>
    </row>
    <row r="454" ht="15.75" customHeight="1">
      <c r="D454" s="104"/>
      <c r="F454" s="121"/>
    </row>
    <row r="455" ht="15.75" customHeight="1">
      <c r="D455" s="104"/>
      <c r="F455" s="121"/>
    </row>
    <row r="456" ht="15.75" customHeight="1">
      <c r="D456" s="104"/>
      <c r="F456" s="121"/>
    </row>
    <row r="457" ht="15.75" customHeight="1">
      <c r="D457" s="104"/>
      <c r="F457" s="121"/>
    </row>
    <row r="458" ht="15.75" customHeight="1">
      <c r="D458" s="104"/>
      <c r="F458" s="121"/>
    </row>
    <row r="459" ht="15.75" customHeight="1">
      <c r="D459" s="104"/>
      <c r="F459" s="121"/>
    </row>
    <row r="460" ht="15.75" customHeight="1">
      <c r="D460" s="104"/>
      <c r="F460" s="121"/>
    </row>
    <row r="461" ht="15.75" customHeight="1">
      <c r="D461" s="104"/>
      <c r="F461" s="121"/>
    </row>
    <row r="462" ht="15.75" customHeight="1">
      <c r="D462" s="104"/>
      <c r="F462" s="121"/>
    </row>
    <row r="463" ht="15.75" customHeight="1">
      <c r="D463" s="104"/>
      <c r="F463" s="121"/>
    </row>
    <row r="464" ht="15.75" customHeight="1">
      <c r="D464" s="104"/>
      <c r="F464" s="121"/>
    </row>
    <row r="465" ht="15.75" customHeight="1">
      <c r="D465" s="104"/>
      <c r="F465" s="121"/>
    </row>
    <row r="466" ht="15.75" customHeight="1">
      <c r="D466" s="104"/>
      <c r="F466" s="121"/>
    </row>
    <row r="467" ht="15.75" customHeight="1">
      <c r="D467" s="104"/>
      <c r="F467" s="121"/>
    </row>
    <row r="468" ht="15.75" customHeight="1">
      <c r="D468" s="104"/>
      <c r="F468" s="121"/>
    </row>
    <row r="469" ht="15.75" customHeight="1">
      <c r="D469" s="104"/>
      <c r="F469" s="121"/>
    </row>
    <row r="470" ht="15.75" customHeight="1">
      <c r="D470" s="104"/>
      <c r="F470" s="121"/>
    </row>
    <row r="471" ht="15.75" customHeight="1">
      <c r="D471" s="104"/>
      <c r="F471" s="121"/>
    </row>
    <row r="472" ht="15.75" customHeight="1">
      <c r="D472" s="104"/>
      <c r="F472" s="121"/>
    </row>
    <row r="473" ht="15.75" customHeight="1">
      <c r="D473" s="104"/>
      <c r="F473" s="121"/>
    </row>
    <row r="474" ht="15.75" customHeight="1">
      <c r="D474" s="104"/>
      <c r="F474" s="121"/>
    </row>
    <row r="475" ht="15.75" customHeight="1">
      <c r="D475" s="104"/>
      <c r="F475" s="121"/>
    </row>
    <row r="476" ht="15.75" customHeight="1">
      <c r="D476" s="104"/>
      <c r="F476" s="121"/>
    </row>
    <row r="477" ht="15.75" customHeight="1">
      <c r="D477" s="104"/>
      <c r="F477" s="121"/>
    </row>
    <row r="478" ht="15.75" customHeight="1">
      <c r="D478" s="104"/>
      <c r="F478" s="121"/>
    </row>
    <row r="479" ht="15.75" customHeight="1">
      <c r="D479" s="104"/>
      <c r="F479" s="121"/>
    </row>
    <row r="480" ht="15.75" customHeight="1">
      <c r="D480" s="104"/>
      <c r="F480" s="121"/>
    </row>
    <row r="481" ht="15.75" customHeight="1">
      <c r="D481" s="104"/>
      <c r="F481" s="121"/>
    </row>
    <row r="482" ht="15.75" customHeight="1">
      <c r="D482" s="104"/>
      <c r="F482" s="121"/>
    </row>
    <row r="483" ht="15.75" customHeight="1">
      <c r="D483" s="104"/>
      <c r="F483" s="121"/>
    </row>
    <row r="484" ht="15.75" customHeight="1">
      <c r="D484" s="104"/>
      <c r="F484" s="121"/>
    </row>
    <row r="485" ht="15.75" customHeight="1">
      <c r="D485" s="104"/>
      <c r="F485" s="121"/>
    </row>
    <row r="486" ht="15.75" customHeight="1">
      <c r="D486" s="104"/>
      <c r="F486" s="121"/>
    </row>
    <row r="487" ht="15.75" customHeight="1">
      <c r="D487" s="104"/>
      <c r="F487" s="121"/>
    </row>
    <row r="488" ht="15.75" customHeight="1">
      <c r="D488" s="104"/>
      <c r="F488" s="121"/>
    </row>
    <row r="489" ht="15.75" customHeight="1">
      <c r="D489" s="104"/>
      <c r="F489" s="121"/>
    </row>
    <row r="490" ht="15.75" customHeight="1">
      <c r="D490" s="104"/>
      <c r="F490" s="121"/>
    </row>
    <row r="491" ht="15.75" customHeight="1">
      <c r="D491" s="104"/>
      <c r="F491" s="121"/>
    </row>
    <row r="492" ht="15.75" customHeight="1">
      <c r="D492" s="104"/>
      <c r="F492" s="121"/>
    </row>
    <row r="493" ht="15.75" customHeight="1">
      <c r="D493" s="104"/>
      <c r="F493" s="121"/>
    </row>
    <row r="494" ht="15.75" customHeight="1">
      <c r="D494" s="104"/>
      <c r="F494" s="121"/>
    </row>
    <row r="495" ht="15.75" customHeight="1">
      <c r="D495" s="104"/>
      <c r="F495" s="121"/>
    </row>
    <row r="496" ht="15.75" customHeight="1">
      <c r="D496" s="104"/>
      <c r="F496" s="121"/>
    </row>
    <row r="497" ht="15.75" customHeight="1">
      <c r="D497" s="104"/>
      <c r="F497" s="121"/>
    </row>
    <row r="498" ht="15.75" customHeight="1">
      <c r="D498" s="104"/>
      <c r="F498" s="121"/>
    </row>
    <row r="499" ht="15.75" customHeight="1">
      <c r="D499" s="104"/>
      <c r="F499" s="121"/>
    </row>
    <row r="500" ht="15.75" customHeight="1">
      <c r="D500" s="104"/>
      <c r="F500" s="121"/>
    </row>
    <row r="501" ht="15.75" customHeight="1">
      <c r="D501" s="104"/>
      <c r="F501" s="121"/>
    </row>
    <row r="502" ht="15.75" customHeight="1">
      <c r="D502" s="104"/>
      <c r="F502" s="121"/>
    </row>
    <row r="503" ht="15.75" customHeight="1">
      <c r="D503" s="104"/>
      <c r="F503" s="121"/>
    </row>
    <row r="504" ht="15.75" customHeight="1">
      <c r="D504" s="104"/>
      <c r="F504" s="121"/>
    </row>
    <row r="505" ht="15.75" customHeight="1">
      <c r="D505" s="104"/>
      <c r="F505" s="121"/>
    </row>
    <row r="506" ht="15.75" customHeight="1">
      <c r="D506" s="104"/>
      <c r="F506" s="121"/>
    </row>
    <row r="507" ht="15.75" customHeight="1">
      <c r="D507" s="104"/>
      <c r="F507" s="121"/>
    </row>
    <row r="508" ht="15.75" customHeight="1">
      <c r="D508" s="104"/>
      <c r="F508" s="121"/>
    </row>
    <row r="509" ht="15.75" customHeight="1">
      <c r="D509" s="104"/>
      <c r="F509" s="121"/>
    </row>
    <row r="510" ht="15.75" customHeight="1">
      <c r="D510" s="104"/>
      <c r="F510" s="121"/>
    </row>
    <row r="511" ht="15.75" customHeight="1">
      <c r="D511" s="104"/>
      <c r="F511" s="121"/>
    </row>
    <row r="512" ht="15.75" customHeight="1">
      <c r="D512" s="104"/>
      <c r="F512" s="121"/>
    </row>
    <row r="513" ht="15.75" customHeight="1">
      <c r="D513" s="104"/>
      <c r="F513" s="121"/>
    </row>
    <row r="514" ht="15.75" customHeight="1">
      <c r="D514" s="104"/>
      <c r="F514" s="121"/>
    </row>
    <row r="515" ht="15.75" customHeight="1">
      <c r="D515" s="104"/>
      <c r="F515" s="121"/>
    </row>
    <row r="516" ht="15.75" customHeight="1">
      <c r="D516" s="104"/>
      <c r="F516" s="121"/>
    </row>
    <row r="517" ht="15.75" customHeight="1">
      <c r="D517" s="104"/>
      <c r="F517" s="121"/>
    </row>
    <row r="518" ht="15.75" customHeight="1">
      <c r="D518" s="104"/>
      <c r="F518" s="121"/>
    </row>
    <row r="519" ht="15.75" customHeight="1">
      <c r="D519" s="104"/>
      <c r="F519" s="121"/>
    </row>
    <row r="520" ht="15.75" customHeight="1">
      <c r="D520" s="104"/>
      <c r="F520" s="121"/>
    </row>
    <row r="521" ht="15.75" customHeight="1">
      <c r="D521" s="104"/>
      <c r="F521" s="121"/>
    </row>
    <row r="522" ht="15.75" customHeight="1">
      <c r="D522" s="104"/>
      <c r="F522" s="121"/>
    </row>
    <row r="523" ht="15.75" customHeight="1">
      <c r="D523" s="104"/>
      <c r="F523" s="121"/>
    </row>
    <row r="524" ht="15.75" customHeight="1">
      <c r="D524" s="104"/>
      <c r="F524" s="121"/>
    </row>
    <row r="525" ht="15.75" customHeight="1">
      <c r="D525" s="104"/>
      <c r="F525" s="121"/>
    </row>
    <row r="526" ht="15.75" customHeight="1">
      <c r="D526" s="104"/>
      <c r="F526" s="121"/>
    </row>
    <row r="527" ht="15.75" customHeight="1">
      <c r="D527" s="104"/>
      <c r="F527" s="121"/>
    </row>
    <row r="528" ht="15.75" customHeight="1">
      <c r="D528" s="104"/>
      <c r="F528" s="121"/>
    </row>
    <row r="529" ht="15.75" customHeight="1">
      <c r="D529" s="104"/>
      <c r="F529" s="121"/>
    </row>
    <row r="530" ht="15.75" customHeight="1">
      <c r="D530" s="104"/>
      <c r="F530" s="121"/>
    </row>
    <row r="531" ht="15.75" customHeight="1">
      <c r="D531" s="104"/>
      <c r="F531" s="121"/>
    </row>
    <row r="532" ht="15.75" customHeight="1">
      <c r="D532" s="104"/>
      <c r="F532" s="121"/>
    </row>
    <row r="533" ht="15.75" customHeight="1">
      <c r="D533" s="104"/>
      <c r="F533" s="121"/>
    </row>
    <row r="534" ht="15.75" customHeight="1">
      <c r="D534" s="104"/>
      <c r="F534" s="121"/>
    </row>
    <row r="535" ht="15.75" customHeight="1">
      <c r="D535" s="104"/>
      <c r="F535" s="121"/>
    </row>
    <row r="536" ht="15.75" customHeight="1">
      <c r="D536" s="104"/>
      <c r="F536" s="121"/>
    </row>
    <row r="537" ht="15.75" customHeight="1">
      <c r="D537" s="104"/>
      <c r="F537" s="121"/>
    </row>
    <row r="538" ht="15.75" customHeight="1">
      <c r="D538" s="104"/>
      <c r="F538" s="121"/>
    </row>
    <row r="539" ht="15.75" customHeight="1">
      <c r="D539" s="104"/>
      <c r="F539" s="121"/>
    </row>
    <row r="540" ht="15.75" customHeight="1">
      <c r="D540" s="104"/>
      <c r="F540" s="121"/>
    </row>
    <row r="541" ht="15.75" customHeight="1">
      <c r="D541" s="104"/>
      <c r="F541" s="121"/>
    </row>
    <row r="542" ht="15.75" customHeight="1">
      <c r="D542" s="104"/>
      <c r="F542" s="121"/>
    </row>
    <row r="543" ht="15.75" customHeight="1">
      <c r="D543" s="104"/>
      <c r="F543" s="121"/>
    </row>
    <row r="544" ht="15.75" customHeight="1">
      <c r="D544" s="104"/>
      <c r="F544" s="121"/>
    </row>
    <row r="545" ht="15.75" customHeight="1">
      <c r="D545" s="104"/>
      <c r="F545" s="121"/>
    </row>
    <row r="546" ht="15.75" customHeight="1">
      <c r="D546" s="104"/>
      <c r="F546" s="121"/>
    </row>
    <row r="547" ht="15.75" customHeight="1">
      <c r="D547" s="104"/>
      <c r="F547" s="121"/>
    </row>
    <row r="548" ht="15.75" customHeight="1">
      <c r="D548" s="104"/>
      <c r="F548" s="121"/>
    </row>
    <row r="549" ht="15.75" customHeight="1">
      <c r="D549" s="104"/>
      <c r="F549" s="121"/>
    </row>
    <row r="550" ht="15.75" customHeight="1">
      <c r="D550" s="104"/>
      <c r="F550" s="121"/>
    </row>
    <row r="551" ht="15.75" customHeight="1">
      <c r="D551" s="104"/>
      <c r="F551" s="121"/>
    </row>
    <row r="552" ht="15.75" customHeight="1">
      <c r="D552" s="104"/>
      <c r="F552" s="121"/>
    </row>
    <row r="553" ht="15.75" customHeight="1">
      <c r="D553" s="104"/>
      <c r="F553" s="121"/>
    </row>
    <row r="554" ht="15.75" customHeight="1">
      <c r="D554" s="104"/>
      <c r="F554" s="121"/>
    </row>
    <row r="555" ht="15.75" customHeight="1">
      <c r="D555" s="104"/>
      <c r="F555" s="121"/>
    </row>
    <row r="556" ht="15.75" customHeight="1">
      <c r="D556" s="104"/>
      <c r="F556" s="121"/>
    </row>
    <row r="557" ht="15.75" customHeight="1">
      <c r="D557" s="104"/>
      <c r="F557" s="121"/>
    </row>
    <row r="558" ht="15.75" customHeight="1">
      <c r="D558" s="104"/>
      <c r="F558" s="121"/>
    </row>
    <row r="559" ht="15.75" customHeight="1">
      <c r="D559" s="104"/>
      <c r="F559" s="121"/>
    </row>
    <row r="560" ht="15.75" customHeight="1">
      <c r="D560" s="104"/>
      <c r="F560" s="121"/>
    </row>
    <row r="561" ht="15.75" customHeight="1">
      <c r="D561" s="104"/>
      <c r="F561" s="121"/>
    </row>
    <row r="562" ht="15.75" customHeight="1">
      <c r="D562" s="104"/>
      <c r="F562" s="121"/>
    </row>
    <row r="563" ht="15.75" customHeight="1">
      <c r="D563" s="104"/>
      <c r="F563" s="121"/>
    </row>
    <row r="564" ht="15.75" customHeight="1">
      <c r="D564" s="104"/>
      <c r="F564" s="121"/>
    </row>
    <row r="565" ht="15.75" customHeight="1">
      <c r="D565" s="104"/>
      <c r="F565" s="121"/>
    </row>
    <row r="566" ht="15.75" customHeight="1">
      <c r="D566" s="104"/>
      <c r="F566" s="121"/>
    </row>
    <row r="567" ht="15.75" customHeight="1">
      <c r="D567" s="104"/>
      <c r="F567" s="121"/>
    </row>
    <row r="568" ht="15.75" customHeight="1">
      <c r="D568" s="104"/>
      <c r="F568" s="121"/>
    </row>
    <row r="569" ht="15.75" customHeight="1">
      <c r="D569" s="104"/>
      <c r="F569" s="121"/>
    </row>
    <row r="570" ht="15.75" customHeight="1">
      <c r="D570" s="104"/>
      <c r="F570" s="121"/>
    </row>
    <row r="571" ht="15.75" customHeight="1">
      <c r="D571" s="104"/>
      <c r="F571" s="121"/>
    </row>
    <row r="572" ht="15.75" customHeight="1">
      <c r="D572" s="104"/>
      <c r="F572" s="121"/>
    </row>
    <row r="573" ht="15.75" customHeight="1">
      <c r="D573" s="104"/>
      <c r="F573" s="121"/>
    </row>
    <row r="574" ht="15.75" customHeight="1">
      <c r="D574" s="104"/>
      <c r="F574" s="121"/>
    </row>
    <row r="575" ht="15.75" customHeight="1">
      <c r="D575" s="104"/>
      <c r="F575" s="121"/>
    </row>
    <row r="576" ht="15.75" customHeight="1">
      <c r="D576" s="104"/>
      <c r="F576" s="121"/>
    </row>
    <row r="577" ht="15.75" customHeight="1">
      <c r="D577" s="104"/>
      <c r="F577" s="121"/>
    </row>
    <row r="578" ht="15.75" customHeight="1">
      <c r="D578" s="104"/>
      <c r="F578" s="121"/>
    </row>
    <row r="579" ht="15.75" customHeight="1">
      <c r="D579" s="104"/>
      <c r="F579" s="121"/>
    </row>
    <row r="580" ht="15.75" customHeight="1">
      <c r="D580" s="104"/>
      <c r="F580" s="121"/>
    </row>
    <row r="581" ht="15.75" customHeight="1">
      <c r="D581" s="104"/>
      <c r="F581" s="121"/>
    </row>
    <row r="582" ht="15.75" customHeight="1">
      <c r="D582" s="104"/>
      <c r="F582" s="121"/>
    </row>
    <row r="583" ht="15.75" customHeight="1">
      <c r="D583" s="104"/>
      <c r="F583" s="121"/>
    </row>
    <row r="584" ht="15.75" customHeight="1">
      <c r="D584" s="104"/>
      <c r="F584" s="121"/>
    </row>
    <row r="585" ht="15.75" customHeight="1">
      <c r="D585" s="104"/>
      <c r="F585" s="121"/>
    </row>
    <row r="586" ht="15.75" customHeight="1">
      <c r="D586" s="104"/>
      <c r="F586" s="121"/>
    </row>
    <row r="587" ht="15.75" customHeight="1">
      <c r="D587" s="104"/>
      <c r="F587" s="121"/>
    </row>
    <row r="588" ht="15.75" customHeight="1">
      <c r="D588" s="104"/>
      <c r="F588" s="121"/>
    </row>
    <row r="589" ht="15.75" customHeight="1">
      <c r="D589" s="104"/>
      <c r="F589" s="121"/>
    </row>
    <row r="590" ht="15.75" customHeight="1">
      <c r="D590" s="104"/>
      <c r="F590" s="121"/>
    </row>
    <row r="591" ht="15.75" customHeight="1">
      <c r="D591" s="104"/>
      <c r="F591" s="121"/>
    </row>
    <row r="592" ht="15.75" customHeight="1">
      <c r="D592" s="104"/>
      <c r="F592" s="121"/>
    </row>
    <row r="593" ht="15.75" customHeight="1">
      <c r="D593" s="104"/>
      <c r="F593" s="121"/>
    </row>
    <row r="594" ht="15.75" customHeight="1">
      <c r="D594" s="104"/>
      <c r="F594" s="121"/>
    </row>
    <row r="595" ht="15.75" customHeight="1">
      <c r="D595" s="104"/>
      <c r="F595" s="121"/>
    </row>
    <row r="596" ht="15.75" customHeight="1">
      <c r="D596" s="104"/>
      <c r="F596" s="121"/>
    </row>
    <row r="597" ht="15.75" customHeight="1">
      <c r="D597" s="104"/>
      <c r="F597" s="121"/>
    </row>
    <row r="598" ht="15.75" customHeight="1">
      <c r="D598" s="104"/>
      <c r="F598" s="121"/>
    </row>
    <row r="599" ht="15.75" customHeight="1">
      <c r="D599" s="104"/>
      <c r="F599" s="121"/>
    </row>
    <row r="600" ht="15.75" customHeight="1">
      <c r="D600" s="104"/>
      <c r="F600" s="121"/>
    </row>
    <row r="601" ht="15.75" customHeight="1">
      <c r="D601" s="104"/>
      <c r="F601" s="121"/>
    </row>
    <row r="602" ht="15.75" customHeight="1">
      <c r="D602" s="104"/>
      <c r="F602" s="121"/>
    </row>
    <row r="603" ht="15.75" customHeight="1">
      <c r="D603" s="104"/>
      <c r="F603" s="121"/>
    </row>
    <row r="604" ht="15.75" customHeight="1">
      <c r="D604" s="104"/>
      <c r="F604" s="121"/>
    </row>
    <row r="605" ht="15.75" customHeight="1">
      <c r="D605" s="104"/>
      <c r="F605" s="121"/>
    </row>
    <row r="606" ht="15.75" customHeight="1">
      <c r="D606" s="104"/>
      <c r="F606" s="121"/>
    </row>
    <row r="607" ht="15.75" customHeight="1">
      <c r="D607" s="104"/>
      <c r="F607" s="121"/>
    </row>
    <row r="608" ht="15.75" customHeight="1">
      <c r="D608" s="104"/>
      <c r="F608" s="121"/>
    </row>
    <row r="609" ht="15.75" customHeight="1">
      <c r="D609" s="104"/>
      <c r="F609" s="121"/>
    </row>
    <row r="610" ht="15.75" customHeight="1">
      <c r="D610" s="104"/>
      <c r="F610" s="121"/>
    </row>
    <row r="611" ht="15.75" customHeight="1">
      <c r="D611" s="104"/>
      <c r="F611" s="121"/>
    </row>
    <row r="612" ht="15.75" customHeight="1">
      <c r="D612" s="104"/>
      <c r="F612" s="121"/>
    </row>
    <row r="613" ht="15.75" customHeight="1">
      <c r="D613" s="104"/>
      <c r="F613" s="121"/>
    </row>
    <row r="614" ht="15.75" customHeight="1">
      <c r="D614" s="104"/>
      <c r="F614" s="121"/>
    </row>
    <row r="615" ht="15.75" customHeight="1">
      <c r="D615" s="104"/>
      <c r="F615" s="121"/>
    </row>
    <row r="616" ht="15.75" customHeight="1">
      <c r="D616" s="104"/>
      <c r="F616" s="121"/>
    </row>
    <row r="617" ht="15.75" customHeight="1">
      <c r="D617" s="104"/>
      <c r="F617" s="121"/>
    </row>
    <row r="618" ht="15.75" customHeight="1">
      <c r="D618" s="104"/>
      <c r="F618" s="121"/>
    </row>
    <row r="619" ht="15.75" customHeight="1">
      <c r="D619" s="104"/>
      <c r="F619" s="121"/>
    </row>
    <row r="620" ht="15.75" customHeight="1">
      <c r="D620" s="104"/>
      <c r="F620" s="121"/>
    </row>
    <row r="621" ht="15.75" customHeight="1">
      <c r="D621" s="104"/>
      <c r="F621" s="121"/>
    </row>
    <row r="622" ht="15.75" customHeight="1">
      <c r="D622" s="104"/>
      <c r="F622" s="121"/>
    </row>
    <row r="623" ht="15.75" customHeight="1">
      <c r="D623" s="104"/>
      <c r="F623" s="121"/>
    </row>
    <row r="624" ht="15.75" customHeight="1">
      <c r="D624" s="104"/>
      <c r="F624" s="121"/>
    </row>
    <row r="625" ht="15.75" customHeight="1">
      <c r="D625" s="104"/>
      <c r="F625" s="121"/>
    </row>
    <row r="626" ht="15.75" customHeight="1">
      <c r="D626" s="104"/>
      <c r="F626" s="121"/>
    </row>
    <row r="627" ht="15.75" customHeight="1">
      <c r="D627" s="104"/>
      <c r="F627" s="121"/>
    </row>
    <row r="628" ht="15.75" customHeight="1">
      <c r="D628" s="104"/>
      <c r="F628" s="121"/>
    </row>
    <row r="629" ht="15.75" customHeight="1">
      <c r="D629" s="104"/>
      <c r="F629" s="121"/>
    </row>
    <row r="630" ht="15.75" customHeight="1">
      <c r="D630" s="104"/>
      <c r="F630" s="121"/>
    </row>
    <row r="631" ht="15.75" customHeight="1">
      <c r="D631" s="104"/>
      <c r="F631" s="121"/>
    </row>
    <row r="632" ht="15.75" customHeight="1">
      <c r="D632" s="104"/>
      <c r="F632" s="121"/>
    </row>
    <row r="633" ht="15.75" customHeight="1">
      <c r="D633" s="104"/>
      <c r="F633" s="121"/>
    </row>
    <row r="634" ht="15.75" customHeight="1">
      <c r="D634" s="104"/>
      <c r="F634" s="121"/>
    </row>
    <row r="635" ht="15.75" customHeight="1">
      <c r="D635" s="104"/>
      <c r="F635" s="121"/>
    </row>
    <row r="636" ht="15.75" customHeight="1">
      <c r="D636" s="104"/>
      <c r="F636" s="121"/>
    </row>
    <row r="637" ht="15.75" customHeight="1">
      <c r="D637" s="104"/>
      <c r="F637" s="121"/>
    </row>
    <row r="638" ht="15.75" customHeight="1">
      <c r="D638" s="104"/>
      <c r="F638" s="121"/>
    </row>
    <row r="639" ht="15.75" customHeight="1">
      <c r="D639" s="104"/>
      <c r="F639" s="121"/>
    </row>
    <row r="640" ht="15.75" customHeight="1">
      <c r="D640" s="104"/>
      <c r="F640" s="121"/>
    </row>
    <row r="641" ht="15.75" customHeight="1">
      <c r="D641" s="104"/>
      <c r="F641" s="121"/>
    </row>
    <row r="642" ht="15.75" customHeight="1">
      <c r="D642" s="104"/>
      <c r="F642" s="121"/>
    </row>
    <row r="643" ht="15.75" customHeight="1">
      <c r="D643" s="104"/>
      <c r="F643" s="121"/>
    </row>
    <row r="644" ht="15.75" customHeight="1">
      <c r="D644" s="104"/>
      <c r="F644" s="121"/>
    </row>
    <row r="645" ht="15.75" customHeight="1">
      <c r="D645" s="104"/>
      <c r="F645" s="121"/>
    </row>
    <row r="646" ht="15.75" customHeight="1">
      <c r="D646" s="104"/>
      <c r="F646" s="121"/>
    </row>
    <row r="647" ht="15.75" customHeight="1">
      <c r="D647" s="104"/>
      <c r="F647" s="121"/>
    </row>
    <row r="648" ht="15.75" customHeight="1">
      <c r="D648" s="104"/>
      <c r="F648" s="121"/>
    </row>
    <row r="649" ht="15.75" customHeight="1">
      <c r="D649" s="104"/>
      <c r="F649" s="121"/>
    </row>
    <row r="650" ht="15.75" customHeight="1">
      <c r="D650" s="104"/>
      <c r="F650" s="121"/>
    </row>
    <row r="651" ht="15.75" customHeight="1">
      <c r="D651" s="104"/>
      <c r="F651" s="121"/>
    </row>
    <row r="652" ht="15.75" customHeight="1">
      <c r="D652" s="104"/>
      <c r="F652" s="121"/>
    </row>
    <row r="653" ht="15.75" customHeight="1">
      <c r="D653" s="104"/>
      <c r="F653" s="121"/>
    </row>
    <row r="654" ht="15.75" customHeight="1">
      <c r="D654" s="104"/>
      <c r="F654" s="121"/>
    </row>
    <row r="655" ht="15.75" customHeight="1">
      <c r="D655" s="104"/>
      <c r="F655" s="121"/>
    </row>
    <row r="656" ht="15.75" customHeight="1">
      <c r="D656" s="104"/>
      <c r="F656" s="121"/>
    </row>
    <row r="657" ht="15.75" customHeight="1">
      <c r="D657" s="104"/>
      <c r="F657" s="121"/>
    </row>
    <row r="658" ht="15.75" customHeight="1">
      <c r="D658" s="104"/>
      <c r="F658" s="121"/>
    </row>
    <row r="659" ht="15.75" customHeight="1">
      <c r="D659" s="104"/>
      <c r="F659" s="121"/>
    </row>
    <row r="660" ht="15.75" customHeight="1">
      <c r="D660" s="104"/>
      <c r="F660" s="121"/>
    </row>
    <row r="661" ht="15.75" customHeight="1">
      <c r="D661" s="104"/>
      <c r="F661" s="121"/>
    </row>
    <row r="662" ht="15.75" customHeight="1">
      <c r="D662" s="104"/>
      <c r="F662" s="121"/>
    </row>
    <row r="663" ht="15.75" customHeight="1">
      <c r="D663" s="104"/>
      <c r="F663" s="121"/>
    </row>
    <row r="664" ht="15.75" customHeight="1">
      <c r="D664" s="104"/>
      <c r="F664" s="121"/>
    </row>
    <row r="665" ht="15.75" customHeight="1">
      <c r="D665" s="104"/>
      <c r="F665" s="121"/>
    </row>
    <row r="666" ht="15.75" customHeight="1">
      <c r="D666" s="104"/>
      <c r="F666" s="121"/>
    </row>
    <row r="667" ht="15.75" customHeight="1">
      <c r="D667" s="104"/>
      <c r="F667" s="121"/>
    </row>
    <row r="668" ht="15.75" customHeight="1">
      <c r="D668" s="104"/>
      <c r="F668" s="121"/>
    </row>
    <row r="669" ht="15.75" customHeight="1">
      <c r="D669" s="104"/>
      <c r="F669" s="121"/>
    </row>
    <row r="670" ht="15.75" customHeight="1">
      <c r="D670" s="104"/>
      <c r="F670" s="121"/>
    </row>
    <row r="671" ht="15.75" customHeight="1">
      <c r="D671" s="104"/>
      <c r="F671" s="121"/>
    </row>
    <row r="672" ht="15.75" customHeight="1">
      <c r="D672" s="104"/>
      <c r="F672" s="121"/>
    </row>
    <row r="673" ht="15.75" customHeight="1">
      <c r="D673" s="104"/>
      <c r="F673" s="121"/>
    </row>
    <row r="674" ht="15.75" customHeight="1">
      <c r="D674" s="104"/>
      <c r="F674" s="121"/>
    </row>
    <row r="675" ht="15.75" customHeight="1">
      <c r="D675" s="104"/>
      <c r="F675" s="121"/>
    </row>
    <row r="676" ht="15.75" customHeight="1">
      <c r="D676" s="104"/>
      <c r="F676" s="121"/>
    </row>
    <row r="677" ht="15.75" customHeight="1">
      <c r="D677" s="104"/>
      <c r="F677" s="121"/>
    </row>
    <row r="678" ht="15.75" customHeight="1">
      <c r="D678" s="104"/>
      <c r="F678" s="121"/>
    </row>
    <row r="679" ht="15.75" customHeight="1">
      <c r="D679" s="104"/>
      <c r="F679" s="121"/>
    </row>
    <row r="680" ht="15.75" customHeight="1">
      <c r="D680" s="104"/>
      <c r="F680" s="121"/>
    </row>
    <row r="681" ht="15.75" customHeight="1">
      <c r="D681" s="104"/>
      <c r="F681" s="121"/>
    </row>
    <row r="682" ht="15.75" customHeight="1">
      <c r="D682" s="104"/>
      <c r="F682" s="121"/>
    </row>
    <row r="683" ht="15.75" customHeight="1">
      <c r="D683" s="104"/>
      <c r="F683" s="121"/>
    </row>
    <row r="684" ht="15.75" customHeight="1">
      <c r="D684" s="104"/>
      <c r="F684" s="121"/>
    </row>
    <row r="685" ht="15.75" customHeight="1">
      <c r="D685" s="104"/>
      <c r="F685" s="121"/>
    </row>
    <row r="686" ht="15.75" customHeight="1">
      <c r="D686" s="104"/>
      <c r="F686" s="121"/>
    </row>
    <row r="687" ht="15.75" customHeight="1">
      <c r="D687" s="104"/>
      <c r="F687" s="121"/>
    </row>
    <row r="688" ht="15.75" customHeight="1">
      <c r="D688" s="104"/>
      <c r="F688" s="121"/>
    </row>
    <row r="689" ht="15.75" customHeight="1">
      <c r="D689" s="104"/>
      <c r="F689" s="121"/>
    </row>
    <row r="690" ht="15.75" customHeight="1">
      <c r="D690" s="104"/>
      <c r="F690" s="121"/>
    </row>
    <row r="691" ht="15.75" customHeight="1">
      <c r="D691" s="104"/>
      <c r="F691" s="121"/>
    </row>
    <row r="692" ht="15.75" customHeight="1">
      <c r="D692" s="104"/>
      <c r="F692" s="121"/>
    </row>
    <row r="693" ht="15.75" customHeight="1">
      <c r="D693" s="104"/>
      <c r="F693" s="121"/>
    </row>
    <row r="694" ht="15.75" customHeight="1">
      <c r="D694" s="104"/>
      <c r="F694" s="121"/>
    </row>
    <row r="695" ht="15.75" customHeight="1">
      <c r="D695" s="104"/>
      <c r="F695" s="121"/>
    </row>
    <row r="696" ht="15.75" customHeight="1">
      <c r="D696" s="104"/>
      <c r="F696" s="121"/>
    </row>
    <row r="697" ht="15.75" customHeight="1">
      <c r="D697" s="104"/>
      <c r="F697" s="121"/>
    </row>
    <row r="698" ht="15.75" customHeight="1">
      <c r="D698" s="104"/>
      <c r="F698" s="121"/>
    </row>
    <row r="699" ht="15.75" customHeight="1">
      <c r="D699" s="104"/>
      <c r="F699" s="121"/>
    </row>
    <row r="700" ht="15.75" customHeight="1">
      <c r="D700" s="104"/>
      <c r="F700" s="121"/>
    </row>
    <row r="701" ht="15.75" customHeight="1">
      <c r="D701" s="104"/>
      <c r="F701" s="121"/>
    </row>
    <row r="702" ht="15.75" customHeight="1">
      <c r="D702" s="104"/>
      <c r="F702" s="121"/>
    </row>
    <row r="703" ht="15.75" customHeight="1">
      <c r="D703" s="104"/>
      <c r="F703" s="121"/>
    </row>
    <row r="704" ht="15.75" customHeight="1">
      <c r="D704" s="104"/>
      <c r="F704" s="121"/>
    </row>
    <row r="705" ht="15.75" customHeight="1">
      <c r="D705" s="104"/>
      <c r="F705" s="121"/>
    </row>
    <row r="706" ht="15.75" customHeight="1">
      <c r="D706" s="104"/>
      <c r="F706" s="121"/>
    </row>
    <row r="707" ht="15.75" customHeight="1">
      <c r="D707" s="104"/>
      <c r="F707" s="121"/>
    </row>
    <row r="708" ht="15.75" customHeight="1">
      <c r="D708" s="104"/>
      <c r="F708" s="121"/>
    </row>
    <row r="709" ht="15.75" customHeight="1">
      <c r="D709" s="104"/>
      <c r="F709" s="121"/>
    </row>
    <row r="710" ht="15.75" customHeight="1">
      <c r="D710" s="104"/>
      <c r="F710" s="121"/>
    </row>
    <row r="711" ht="15.75" customHeight="1">
      <c r="D711" s="104"/>
      <c r="F711" s="121"/>
    </row>
    <row r="712" ht="15.75" customHeight="1">
      <c r="D712" s="104"/>
      <c r="F712" s="121"/>
    </row>
    <row r="713" ht="15.75" customHeight="1">
      <c r="D713" s="104"/>
      <c r="F713" s="121"/>
    </row>
    <row r="714" ht="15.75" customHeight="1">
      <c r="D714" s="104"/>
      <c r="F714" s="121"/>
    </row>
    <row r="715" ht="15.75" customHeight="1">
      <c r="D715" s="104"/>
      <c r="F715" s="121"/>
    </row>
    <row r="716" ht="15.75" customHeight="1">
      <c r="D716" s="104"/>
      <c r="F716" s="121"/>
    </row>
    <row r="717" ht="15.75" customHeight="1">
      <c r="D717" s="104"/>
      <c r="F717" s="121"/>
    </row>
    <row r="718" ht="15.75" customHeight="1">
      <c r="D718" s="104"/>
      <c r="F718" s="121"/>
    </row>
    <row r="719" ht="15.75" customHeight="1">
      <c r="D719" s="104"/>
      <c r="F719" s="121"/>
    </row>
    <row r="720" ht="15.75" customHeight="1">
      <c r="D720" s="104"/>
      <c r="F720" s="121"/>
    </row>
    <row r="721" ht="15.75" customHeight="1">
      <c r="D721" s="104"/>
      <c r="F721" s="121"/>
    </row>
    <row r="722" ht="15.75" customHeight="1">
      <c r="D722" s="104"/>
      <c r="F722" s="121"/>
    </row>
    <row r="723" ht="15.75" customHeight="1">
      <c r="D723" s="104"/>
      <c r="F723" s="121"/>
    </row>
    <row r="724" ht="15.75" customHeight="1">
      <c r="D724" s="104"/>
      <c r="F724" s="121"/>
    </row>
    <row r="725" ht="15.75" customHeight="1">
      <c r="D725" s="104"/>
      <c r="F725" s="121"/>
    </row>
    <row r="726" ht="15.75" customHeight="1">
      <c r="D726" s="104"/>
      <c r="F726" s="121"/>
    </row>
    <row r="727" ht="15.75" customHeight="1">
      <c r="D727" s="104"/>
      <c r="F727" s="121"/>
    </row>
    <row r="728" ht="15.75" customHeight="1">
      <c r="D728" s="104"/>
      <c r="F728" s="121"/>
    </row>
    <row r="729" ht="15.75" customHeight="1">
      <c r="D729" s="104"/>
      <c r="F729" s="121"/>
    </row>
    <row r="730" ht="15.75" customHeight="1">
      <c r="D730" s="104"/>
      <c r="F730" s="121"/>
    </row>
    <row r="731" ht="15.75" customHeight="1">
      <c r="D731" s="104"/>
      <c r="F731" s="121"/>
    </row>
    <row r="732" ht="15.75" customHeight="1">
      <c r="D732" s="104"/>
      <c r="F732" s="121"/>
    </row>
    <row r="733" ht="15.75" customHeight="1">
      <c r="D733" s="104"/>
      <c r="F733" s="121"/>
    </row>
    <row r="734" ht="15.75" customHeight="1">
      <c r="D734" s="104"/>
      <c r="F734" s="121"/>
    </row>
    <row r="735" ht="15.75" customHeight="1">
      <c r="D735" s="104"/>
      <c r="F735" s="121"/>
    </row>
    <row r="736" ht="15.75" customHeight="1">
      <c r="D736" s="104"/>
      <c r="F736" s="121"/>
    </row>
    <row r="737" ht="15.75" customHeight="1">
      <c r="D737" s="104"/>
      <c r="F737" s="121"/>
    </row>
    <row r="738" ht="15.75" customHeight="1">
      <c r="D738" s="104"/>
      <c r="F738" s="121"/>
    </row>
    <row r="739" ht="15.75" customHeight="1">
      <c r="D739" s="104"/>
      <c r="F739" s="121"/>
    </row>
    <row r="740" ht="15.75" customHeight="1">
      <c r="D740" s="104"/>
      <c r="F740" s="121"/>
    </row>
    <row r="741" ht="15.75" customHeight="1">
      <c r="D741" s="104"/>
      <c r="F741" s="121"/>
    </row>
    <row r="742" ht="15.75" customHeight="1">
      <c r="D742" s="104"/>
      <c r="F742" s="121"/>
    </row>
    <row r="743" ht="15.75" customHeight="1">
      <c r="D743" s="104"/>
      <c r="F743" s="121"/>
    </row>
    <row r="744" ht="15.75" customHeight="1">
      <c r="D744" s="104"/>
      <c r="F744" s="121"/>
    </row>
    <row r="745" ht="15.75" customHeight="1">
      <c r="D745" s="104"/>
      <c r="F745" s="121"/>
    </row>
    <row r="746" ht="15.75" customHeight="1">
      <c r="D746" s="104"/>
      <c r="F746" s="121"/>
    </row>
    <row r="747" ht="15.75" customHeight="1">
      <c r="D747" s="104"/>
      <c r="F747" s="121"/>
    </row>
    <row r="748" ht="15.75" customHeight="1">
      <c r="D748" s="104"/>
      <c r="F748" s="121"/>
    </row>
    <row r="749" ht="15.75" customHeight="1">
      <c r="D749" s="104"/>
      <c r="F749" s="121"/>
    </row>
    <row r="750" ht="15.75" customHeight="1">
      <c r="D750" s="104"/>
      <c r="F750" s="121"/>
    </row>
    <row r="751" ht="15.75" customHeight="1">
      <c r="D751" s="104"/>
      <c r="F751" s="121"/>
    </row>
    <row r="752" ht="15.75" customHeight="1">
      <c r="D752" s="104"/>
      <c r="F752" s="121"/>
    </row>
    <row r="753" ht="15.75" customHeight="1">
      <c r="D753" s="104"/>
      <c r="F753" s="121"/>
    </row>
    <row r="754" ht="15.75" customHeight="1">
      <c r="D754" s="104"/>
      <c r="F754" s="121"/>
    </row>
    <row r="755" ht="15.75" customHeight="1">
      <c r="D755" s="104"/>
      <c r="F755" s="121"/>
    </row>
    <row r="756" ht="15.75" customHeight="1">
      <c r="D756" s="104"/>
      <c r="F756" s="121"/>
    </row>
    <row r="757" ht="15.75" customHeight="1">
      <c r="D757" s="104"/>
      <c r="F757" s="121"/>
    </row>
    <row r="758" ht="15.75" customHeight="1">
      <c r="D758" s="104"/>
      <c r="F758" s="121"/>
    </row>
    <row r="759" ht="15.75" customHeight="1">
      <c r="D759" s="104"/>
      <c r="F759" s="121"/>
    </row>
    <row r="760" ht="15.75" customHeight="1">
      <c r="D760" s="104"/>
      <c r="F760" s="121"/>
    </row>
    <row r="761" ht="15.75" customHeight="1">
      <c r="D761" s="104"/>
      <c r="F761" s="121"/>
    </row>
    <row r="762" ht="15.75" customHeight="1">
      <c r="D762" s="104"/>
      <c r="F762" s="121"/>
    </row>
    <row r="763" ht="15.75" customHeight="1">
      <c r="D763" s="104"/>
      <c r="F763" s="121"/>
    </row>
    <row r="764" ht="15.75" customHeight="1">
      <c r="D764" s="104"/>
      <c r="F764" s="121"/>
    </row>
    <row r="765" ht="15.75" customHeight="1">
      <c r="D765" s="104"/>
      <c r="F765" s="121"/>
    </row>
    <row r="766" ht="15.75" customHeight="1">
      <c r="D766" s="104"/>
      <c r="F766" s="121"/>
    </row>
    <row r="767" ht="15.75" customHeight="1">
      <c r="D767" s="104"/>
      <c r="F767" s="121"/>
    </row>
    <row r="768" ht="15.75" customHeight="1">
      <c r="D768" s="104"/>
      <c r="F768" s="121"/>
    </row>
    <row r="769" ht="15.75" customHeight="1">
      <c r="D769" s="104"/>
      <c r="F769" s="121"/>
    </row>
    <row r="770" ht="15.75" customHeight="1">
      <c r="D770" s="104"/>
      <c r="F770" s="121"/>
    </row>
    <row r="771" ht="15.75" customHeight="1">
      <c r="D771" s="104"/>
      <c r="F771" s="121"/>
    </row>
    <row r="772" ht="15.75" customHeight="1">
      <c r="D772" s="104"/>
      <c r="F772" s="121"/>
    </row>
    <row r="773" ht="15.75" customHeight="1">
      <c r="D773" s="104"/>
      <c r="F773" s="121"/>
    </row>
    <row r="774" ht="15.75" customHeight="1">
      <c r="D774" s="104"/>
      <c r="F774" s="121"/>
    </row>
    <row r="775" ht="15.75" customHeight="1">
      <c r="D775" s="104"/>
      <c r="F775" s="121"/>
    </row>
    <row r="776" ht="15.75" customHeight="1">
      <c r="D776" s="104"/>
      <c r="F776" s="121"/>
    </row>
    <row r="777" ht="15.75" customHeight="1">
      <c r="D777" s="104"/>
      <c r="F777" s="121"/>
    </row>
    <row r="778" ht="15.75" customHeight="1">
      <c r="D778" s="104"/>
      <c r="F778" s="121"/>
    </row>
    <row r="779" ht="15.75" customHeight="1">
      <c r="D779" s="104"/>
      <c r="F779" s="121"/>
    </row>
    <row r="780" ht="15.75" customHeight="1">
      <c r="D780" s="104"/>
      <c r="F780" s="121"/>
    </row>
    <row r="781" ht="15.75" customHeight="1">
      <c r="D781" s="104"/>
      <c r="F781" s="121"/>
    </row>
    <row r="782" ht="15.75" customHeight="1">
      <c r="D782" s="104"/>
      <c r="F782" s="121"/>
    </row>
    <row r="783" ht="15.75" customHeight="1">
      <c r="D783" s="104"/>
      <c r="F783" s="121"/>
    </row>
    <row r="784" ht="15.75" customHeight="1">
      <c r="D784" s="104"/>
      <c r="F784" s="121"/>
    </row>
    <row r="785" ht="15.75" customHeight="1">
      <c r="D785" s="104"/>
      <c r="F785" s="121"/>
    </row>
    <row r="786" ht="15.75" customHeight="1">
      <c r="D786" s="104"/>
      <c r="F786" s="121"/>
    </row>
    <row r="787" ht="15.75" customHeight="1">
      <c r="D787" s="104"/>
      <c r="F787" s="121"/>
    </row>
    <row r="788" ht="15.75" customHeight="1">
      <c r="D788" s="104"/>
      <c r="F788" s="121"/>
    </row>
    <row r="789" ht="15.75" customHeight="1">
      <c r="D789" s="104"/>
      <c r="F789" s="121"/>
    </row>
    <row r="790" ht="15.75" customHeight="1">
      <c r="D790" s="104"/>
      <c r="F790" s="121"/>
    </row>
    <row r="791" ht="15.75" customHeight="1">
      <c r="D791" s="104"/>
      <c r="F791" s="121"/>
    </row>
    <row r="792" ht="15.75" customHeight="1">
      <c r="D792" s="104"/>
      <c r="F792" s="121"/>
    </row>
    <row r="793" ht="15.75" customHeight="1">
      <c r="D793" s="104"/>
      <c r="F793" s="121"/>
    </row>
    <row r="794" ht="15.75" customHeight="1">
      <c r="D794" s="104"/>
      <c r="F794" s="121"/>
    </row>
    <row r="795" ht="15.75" customHeight="1">
      <c r="D795" s="104"/>
      <c r="F795" s="121"/>
    </row>
    <row r="796" ht="15.75" customHeight="1">
      <c r="D796" s="104"/>
      <c r="F796" s="121"/>
    </row>
    <row r="797" ht="15.75" customHeight="1">
      <c r="D797" s="104"/>
      <c r="F797" s="121"/>
    </row>
    <row r="798" ht="15.75" customHeight="1">
      <c r="D798" s="104"/>
      <c r="F798" s="121"/>
    </row>
    <row r="799" ht="15.75" customHeight="1">
      <c r="D799" s="104"/>
      <c r="F799" s="121"/>
    </row>
    <row r="800" ht="15.75" customHeight="1">
      <c r="D800" s="104"/>
      <c r="F800" s="121"/>
    </row>
    <row r="801" ht="15.75" customHeight="1">
      <c r="D801" s="104"/>
      <c r="F801" s="121"/>
    </row>
    <row r="802" ht="15.75" customHeight="1">
      <c r="D802" s="104"/>
      <c r="F802" s="121"/>
    </row>
    <row r="803" ht="15.75" customHeight="1">
      <c r="D803" s="104"/>
      <c r="F803" s="121"/>
    </row>
    <row r="804" ht="15.75" customHeight="1">
      <c r="D804" s="104"/>
      <c r="F804" s="121"/>
    </row>
    <row r="805" ht="15.75" customHeight="1">
      <c r="D805" s="104"/>
      <c r="F805" s="121"/>
    </row>
    <row r="806" ht="15.75" customHeight="1">
      <c r="D806" s="104"/>
      <c r="F806" s="121"/>
    </row>
    <row r="807" ht="15.75" customHeight="1">
      <c r="D807" s="104"/>
      <c r="F807" s="121"/>
    </row>
    <row r="808" ht="15.75" customHeight="1">
      <c r="D808" s="104"/>
      <c r="F808" s="121"/>
    </row>
    <row r="809" ht="15.75" customHeight="1">
      <c r="D809" s="104"/>
      <c r="F809" s="121"/>
    </row>
    <row r="810" ht="15.75" customHeight="1">
      <c r="D810" s="104"/>
      <c r="F810" s="121"/>
    </row>
    <row r="811" ht="15.75" customHeight="1">
      <c r="D811" s="104"/>
      <c r="F811" s="121"/>
    </row>
    <row r="812" ht="15.75" customHeight="1">
      <c r="D812" s="104"/>
      <c r="F812" s="121"/>
    </row>
    <row r="813" ht="15.75" customHeight="1">
      <c r="D813" s="104"/>
      <c r="F813" s="121"/>
    </row>
    <row r="814" ht="15.75" customHeight="1">
      <c r="D814" s="104"/>
      <c r="F814" s="121"/>
    </row>
    <row r="815" ht="15.75" customHeight="1">
      <c r="D815" s="104"/>
      <c r="F815" s="121"/>
    </row>
    <row r="816" ht="15.75" customHeight="1">
      <c r="D816" s="104"/>
      <c r="F816" s="121"/>
    </row>
    <row r="817" ht="15.75" customHeight="1">
      <c r="D817" s="104"/>
      <c r="F817" s="121"/>
    </row>
    <row r="818" ht="15.75" customHeight="1">
      <c r="D818" s="104"/>
      <c r="F818" s="121"/>
    </row>
    <row r="819" ht="15.75" customHeight="1">
      <c r="D819" s="104"/>
      <c r="F819" s="121"/>
    </row>
    <row r="820" ht="15.75" customHeight="1">
      <c r="D820" s="104"/>
      <c r="F820" s="121"/>
    </row>
    <row r="821" ht="15.75" customHeight="1">
      <c r="D821" s="104"/>
      <c r="F821" s="121"/>
    </row>
    <row r="822" ht="15.75" customHeight="1">
      <c r="D822" s="104"/>
      <c r="F822" s="121"/>
    </row>
    <row r="823" ht="15.75" customHeight="1">
      <c r="D823" s="104"/>
      <c r="F823" s="121"/>
    </row>
    <row r="824" ht="15.75" customHeight="1">
      <c r="D824" s="104"/>
      <c r="F824" s="121"/>
    </row>
    <row r="825" ht="15.75" customHeight="1">
      <c r="D825" s="104"/>
      <c r="F825" s="121"/>
    </row>
    <row r="826" ht="15.75" customHeight="1">
      <c r="D826" s="104"/>
      <c r="F826" s="121"/>
    </row>
    <row r="827" ht="15.75" customHeight="1">
      <c r="D827" s="104"/>
      <c r="F827" s="121"/>
    </row>
    <row r="828" ht="15.75" customHeight="1">
      <c r="D828" s="104"/>
      <c r="F828" s="121"/>
    </row>
    <row r="829" ht="15.75" customHeight="1">
      <c r="D829" s="104"/>
      <c r="F829" s="121"/>
    </row>
    <row r="830" ht="15.75" customHeight="1">
      <c r="D830" s="104"/>
      <c r="F830" s="121"/>
    </row>
    <row r="831" ht="15.75" customHeight="1">
      <c r="D831" s="104"/>
      <c r="F831" s="121"/>
    </row>
    <row r="832" ht="15.75" customHeight="1">
      <c r="D832" s="104"/>
      <c r="F832" s="121"/>
    </row>
    <row r="833" ht="15.75" customHeight="1">
      <c r="D833" s="104"/>
      <c r="F833" s="121"/>
    </row>
    <row r="834" ht="15.75" customHeight="1">
      <c r="D834" s="104"/>
      <c r="F834" s="121"/>
    </row>
    <row r="835" ht="15.75" customHeight="1">
      <c r="D835" s="104"/>
      <c r="F835" s="121"/>
    </row>
    <row r="836" ht="15.75" customHeight="1">
      <c r="D836" s="104"/>
      <c r="F836" s="121"/>
    </row>
    <row r="837" ht="15.75" customHeight="1">
      <c r="D837" s="104"/>
      <c r="F837" s="121"/>
    </row>
    <row r="838" ht="15.75" customHeight="1">
      <c r="D838" s="104"/>
      <c r="F838" s="121"/>
    </row>
    <row r="839" ht="15.75" customHeight="1">
      <c r="D839" s="104"/>
      <c r="F839" s="121"/>
    </row>
    <row r="840" ht="15.75" customHeight="1">
      <c r="D840" s="104"/>
      <c r="F840" s="121"/>
    </row>
    <row r="841" ht="15.75" customHeight="1">
      <c r="D841" s="104"/>
      <c r="F841" s="121"/>
    </row>
    <row r="842" ht="15.75" customHeight="1">
      <c r="D842" s="104"/>
      <c r="F842" s="121"/>
    </row>
    <row r="843" ht="15.75" customHeight="1">
      <c r="D843" s="104"/>
      <c r="F843" s="121"/>
    </row>
    <row r="844" ht="15.75" customHeight="1">
      <c r="D844" s="104"/>
      <c r="F844" s="121"/>
    </row>
    <row r="845" ht="15.75" customHeight="1">
      <c r="D845" s="104"/>
      <c r="F845" s="121"/>
    </row>
    <row r="846" ht="15.75" customHeight="1">
      <c r="D846" s="104"/>
      <c r="F846" s="121"/>
    </row>
    <row r="847" ht="15.75" customHeight="1">
      <c r="D847" s="104"/>
      <c r="F847" s="121"/>
    </row>
    <row r="848" ht="15.75" customHeight="1">
      <c r="D848" s="104"/>
      <c r="F848" s="121"/>
    </row>
    <row r="849" ht="15.75" customHeight="1">
      <c r="D849" s="104"/>
      <c r="F849" s="121"/>
    </row>
    <row r="850" ht="15.75" customHeight="1">
      <c r="D850" s="104"/>
      <c r="F850" s="121"/>
    </row>
    <row r="851" ht="15.75" customHeight="1">
      <c r="D851" s="104"/>
      <c r="F851" s="121"/>
    </row>
    <row r="852" ht="15.75" customHeight="1">
      <c r="D852" s="104"/>
      <c r="F852" s="121"/>
    </row>
    <row r="853" ht="15.75" customHeight="1">
      <c r="D853" s="104"/>
      <c r="F853" s="121"/>
    </row>
    <row r="854" ht="15.75" customHeight="1">
      <c r="D854" s="104"/>
      <c r="F854" s="121"/>
    </row>
    <row r="855" ht="15.75" customHeight="1">
      <c r="D855" s="104"/>
      <c r="F855" s="121"/>
    </row>
    <row r="856" ht="15.75" customHeight="1">
      <c r="D856" s="104"/>
      <c r="F856" s="121"/>
    </row>
    <row r="857" ht="15.75" customHeight="1">
      <c r="D857" s="104"/>
      <c r="F857" s="121"/>
    </row>
    <row r="858" ht="15.75" customHeight="1">
      <c r="D858" s="104"/>
      <c r="F858" s="121"/>
    </row>
    <row r="859" ht="15.75" customHeight="1">
      <c r="D859" s="104"/>
      <c r="F859" s="121"/>
    </row>
    <row r="860" ht="15.75" customHeight="1">
      <c r="D860" s="104"/>
      <c r="F860" s="121"/>
    </row>
    <row r="861" ht="15.75" customHeight="1">
      <c r="D861" s="104"/>
      <c r="F861" s="121"/>
    </row>
    <row r="862" ht="15.75" customHeight="1">
      <c r="D862" s="104"/>
      <c r="F862" s="121"/>
    </row>
    <row r="863" ht="15.75" customHeight="1">
      <c r="D863" s="104"/>
      <c r="F863" s="121"/>
    </row>
    <row r="864" ht="15.75" customHeight="1">
      <c r="D864" s="104"/>
      <c r="F864" s="121"/>
    </row>
    <row r="865" ht="15.75" customHeight="1">
      <c r="D865" s="104"/>
      <c r="F865" s="121"/>
    </row>
    <row r="866" ht="15.75" customHeight="1">
      <c r="D866" s="104"/>
      <c r="F866" s="121"/>
    </row>
    <row r="867" ht="15.75" customHeight="1">
      <c r="D867" s="104"/>
      <c r="F867" s="121"/>
    </row>
    <row r="868" ht="15.75" customHeight="1">
      <c r="D868" s="104"/>
      <c r="F868" s="121"/>
    </row>
    <row r="869" ht="15.75" customHeight="1">
      <c r="D869" s="104"/>
      <c r="F869" s="121"/>
    </row>
    <row r="870" ht="15.75" customHeight="1">
      <c r="D870" s="104"/>
      <c r="F870" s="121"/>
    </row>
    <row r="871" ht="15.75" customHeight="1">
      <c r="D871" s="104"/>
      <c r="F871" s="121"/>
    </row>
    <row r="872" ht="15.75" customHeight="1">
      <c r="D872" s="104"/>
      <c r="F872" s="121"/>
    </row>
    <row r="873" ht="15.75" customHeight="1">
      <c r="D873" s="104"/>
      <c r="F873" s="121"/>
    </row>
    <row r="874" ht="15.75" customHeight="1">
      <c r="D874" s="104"/>
      <c r="F874" s="121"/>
    </row>
    <row r="875" ht="15.75" customHeight="1">
      <c r="D875" s="104"/>
      <c r="F875" s="121"/>
    </row>
    <row r="876" ht="15.75" customHeight="1">
      <c r="D876" s="104"/>
      <c r="F876" s="121"/>
    </row>
    <row r="877" ht="15.75" customHeight="1">
      <c r="D877" s="104"/>
      <c r="F877" s="121"/>
    </row>
    <row r="878" ht="15.75" customHeight="1">
      <c r="D878" s="104"/>
      <c r="F878" s="121"/>
    </row>
    <row r="879" ht="15.75" customHeight="1">
      <c r="D879" s="104"/>
      <c r="F879" s="121"/>
    </row>
    <row r="880" ht="15.75" customHeight="1">
      <c r="D880" s="104"/>
      <c r="F880" s="121"/>
    </row>
    <row r="881" ht="15.75" customHeight="1">
      <c r="D881" s="104"/>
      <c r="F881" s="121"/>
    </row>
    <row r="882" ht="15.75" customHeight="1">
      <c r="D882" s="104"/>
      <c r="F882" s="121"/>
    </row>
    <row r="883" ht="15.75" customHeight="1">
      <c r="D883" s="104"/>
      <c r="F883" s="121"/>
    </row>
    <row r="884" ht="15.75" customHeight="1">
      <c r="D884" s="104"/>
      <c r="F884" s="121"/>
    </row>
    <row r="885" ht="15.75" customHeight="1">
      <c r="D885" s="104"/>
      <c r="F885" s="121"/>
    </row>
    <row r="886" ht="15.75" customHeight="1">
      <c r="D886" s="104"/>
      <c r="F886" s="121"/>
    </row>
    <row r="887" ht="15.75" customHeight="1">
      <c r="D887" s="104"/>
      <c r="F887" s="121"/>
    </row>
    <row r="888" ht="15.75" customHeight="1">
      <c r="D888" s="104"/>
      <c r="F888" s="121"/>
    </row>
    <row r="889" ht="15.75" customHeight="1">
      <c r="D889" s="104"/>
      <c r="F889" s="121"/>
    </row>
    <row r="890" ht="15.75" customHeight="1">
      <c r="D890" s="104"/>
      <c r="F890" s="121"/>
    </row>
    <row r="891" ht="15.75" customHeight="1">
      <c r="D891" s="104"/>
      <c r="F891" s="121"/>
    </row>
    <row r="892" ht="15.75" customHeight="1">
      <c r="D892" s="104"/>
      <c r="F892" s="121"/>
    </row>
    <row r="893" ht="15.75" customHeight="1">
      <c r="D893" s="104"/>
      <c r="F893" s="121"/>
    </row>
    <row r="894" ht="15.75" customHeight="1">
      <c r="D894" s="104"/>
      <c r="F894" s="121"/>
    </row>
    <row r="895" ht="15.75" customHeight="1">
      <c r="D895" s="104"/>
      <c r="F895" s="121"/>
    </row>
    <row r="896" ht="15.75" customHeight="1">
      <c r="D896" s="104"/>
      <c r="F896" s="121"/>
    </row>
    <row r="897" ht="15.75" customHeight="1">
      <c r="D897" s="104"/>
      <c r="F897" s="121"/>
    </row>
    <row r="898" ht="15.75" customHeight="1">
      <c r="D898" s="104"/>
      <c r="F898" s="121"/>
    </row>
    <row r="899" ht="15.75" customHeight="1">
      <c r="D899" s="104"/>
      <c r="F899" s="121"/>
    </row>
    <row r="900" ht="15.75" customHeight="1">
      <c r="D900" s="104"/>
      <c r="F900" s="121"/>
    </row>
    <row r="901" ht="15.75" customHeight="1">
      <c r="D901" s="104"/>
      <c r="F901" s="121"/>
    </row>
    <row r="902" ht="15.75" customHeight="1">
      <c r="D902" s="104"/>
      <c r="F902" s="121"/>
    </row>
    <row r="903" ht="15.75" customHeight="1">
      <c r="D903" s="104"/>
      <c r="F903" s="121"/>
    </row>
    <row r="904" ht="15.75" customHeight="1">
      <c r="D904" s="104"/>
      <c r="F904" s="121"/>
    </row>
    <row r="905" ht="15.75" customHeight="1">
      <c r="D905" s="104"/>
      <c r="F905" s="121"/>
    </row>
    <row r="906" ht="15.75" customHeight="1">
      <c r="D906" s="104"/>
      <c r="F906" s="121"/>
    </row>
    <row r="907" ht="15.75" customHeight="1">
      <c r="D907" s="104"/>
      <c r="F907" s="121"/>
    </row>
    <row r="908" ht="15.75" customHeight="1">
      <c r="D908" s="104"/>
      <c r="F908" s="121"/>
    </row>
    <row r="909" ht="15.75" customHeight="1">
      <c r="D909" s="104"/>
      <c r="F909" s="121"/>
    </row>
    <row r="910" ht="15.75" customHeight="1">
      <c r="D910" s="104"/>
      <c r="F910" s="121"/>
    </row>
    <row r="911" ht="15.75" customHeight="1">
      <c r="D911" s="104"/>
      <c r="F911" s="121"/>
    </row>
    <row r="912" ht="15.75" customHeight="1">
      <c r="D912" s="104"/>
      <c r="F912" s="121"/>
    </row>
    <row r="913" ht="15.75" customHeight="1">
      <c r="D913" s="104"/>
      <c r="F913" s="121"/>
    </row>
    <row r="914" ht="15.75" customHeight="1">
      <c r="D914" s="104"/>
      <c r="F914" s="121"/>
    </row>
    <row r="915" ht="15.75" customHeight="1">
      <c r="D915" s="104"/>
      <c r="F915" s="121"/>
    </row>
    <row r="916" ht="15.75" customHeight="1">
      <c r="D916" s="104"/>
      <c r="F916" s="121"/>
    </row>
    <row r="917" ht="15.75" customHeight="1">
      <c r="D917" s="104"/>
      <c r="F917" s="121"/>
    </row>
    <row r="918" ht="15.75" customHeight="1">
      <c r="D918" s="104"/>
      <c r="F918" s="121"/>
    </row>
    <row r="919" ht="15.75" customHeight="1">
      <c r="D919" s="104"/>
      <c r="F919" s="121"/>
    </row>
    <row r="920" ht="15.75" customHeight="1">
      <c r="D920" s="104"/>
      <c r="F920" s="121"/>
    </row>
    <row r="921" ht="15.75" customHeight="1">
      <c r="D921" s="104"/>
      <c r="F921" s="121"/>
    </row>
    <row r="922" ht="15.75" customHeight="1">
      <c r="D922" s="104"/>
      <c r="F922" s="121"/>
    </row>
    <row r="923" ht="15.75" customHeight="1">
      <c r="D923" s="104"/>
      <c r="F923" s="121"/>
    </row>
    <row r="924" ht="15.75" customHeight="1">
      <c r="D924" s="104"/>
      <c r="F924" s="121"/>
    </row>
    <row r="925" ht="15.75" customHeight="1">
      <c r="D925" s="104"/>
      <c r="F925" s="121"/>
    </row>
    <row r="926" ht="15.75" customHeight="1">
      <c r="D926" s="104"/>
      <c r="F926" s="121"/>
    </row>
    <row r="927" ht="15.75" customHeight="1">
      <c r="D927" s="104"/>
      <c r="F927" s="121"/>
    </row>
    <row r="928" ht="15.75" customHeight="1">
      <c r="D928" s="104"/>
      <c r="F928" s="121"/>
    </row>
    <row r="929" ht="15.75" customHeight="1">
      <c r="D929" s="104"/>
      <c r="F929" s="121"/>
    </row>
    <row r="930" ht="15.75" customHeight="1">
      <c r="D930" s="104"/>
      <c r="F930" s="121"/>
    </row>
    <row r="931" ht="15.75" customHeight="1">
      <c r="D931" s="104"/>
      <c r="F931" s="121"/>
    </row>
    <row r="932" ht="15.75" customHeight="1">
      <c r="D932" s="104"/>
      <c r="F932" s="121"/>
    </row>
    <row r="933" ht="15.75" customHeight="1">
      <c r="D933" s="104"/>
      <c r="F933" s="121"/>
    </row>
    <row r="934" ht="15.75" customHeight="1">
      <c r="D934" s="104"/>
      <c r="F934" s="121"/>
    </row>
    <row r="935" ht="15.75" customHeight="1">
      <c r="D935" s="104"/>
      <c r="F935" s="121"/>
    </row>
    <row r="936" ht="15.75" customHeight="1">
      <c r="D936" s="104"/>
      <c r="F936" s="121"/>
    </row>
    <row r="937" ht="15.75" customHeight="1">
      <c r="D937" s="104"/>
      <c r="F937" s="121"/>
    </row>
    <row r="938" ht="15.75" customHeight="1">
      <c r="D938" s="104"/>
      <c r="F938" s="121"/>
    </row>
    <row r="939" ht="15.75" customHeight="1">
      <c r="D939" s="104"/>
      <c r="F939" s="121"/>
    </row>
    <row r="940" ht="15.75" customHeight="1">
      <c r="D940" s="104"/>
      <c r="F940" s="121"/>
    </row>
    <row r="941" ht="15.75" customHeight="1">
      <c r="D941" s="104"/>
      <c r="F941" s="121"/>
    </row>
    <row r="942" ht="15.75" customHeight="1">
      <c r="D942" s="104"/>
      <c r="F942" s="121"/>
    </row>
    <row r="943" ht="15.75" customHeight="1">
      <c r="D943" s="104"/>
      <c r="F943" s="121"/>
    </row>
    <row r="944" ht="15.75" customHeight="1">
      <c r="D944" s="104"/>
      <c r="F944" s="121"/>
    </row>
    <row r="945" ht="15.75" customHeight="1">
      <c r="D945" s="104"/>
      <c r="F945" s="121"/>
    </row>
    <row r="946" ht="15.75" customHeight="1">
      <c r="D946" s="104"/>
      <c r="F946" s="121"/>
    </row>
    <row r="947" ht="15.75" customHeight="1">
      <c r="D947" s="104"/>
      <c r="F947" s="121"/>
    </row>
    <row r="948" ht="15.75" customHeight="1">
      <c r="D948" s="104"/>
      <c r="F948" s="121"/>
    </row>
    <row r="949" ht="15.75" customHeight="1">
      <c r="D949" s="104"/>
      <c r="F949" s="121"/>
    </row>
    <row r="950" ht="15.75" customHeight="1">
      <c r="D950" s="104"/>
      <c r="F950" s="121"/>
    </row>
    <row r="951" ht="15.75" customHeight="1">
      <c r="D951" s="104"/>
      <c r="F951" s="121"/>
    </row>
    <row r="952" ht="15.75" customHeight="1">
      <c r="D952" s="104"/>
      <c r="F952" s="121"/>
    </row>
    <row r="953" ht="15.75" customHeight="1">
      <c r="D953" s="104"/>
      <c r="F953" s="121"/>
    </row>
    <row r="954" ht="15.75" customHeight="1">
      <c r="D954" s="104"/>
      <c r="F954" s="121"/>
    </row>
    <row r="955" ht="15.75" customHeight="1">
      <c r="D955" s="104"/>
      <c r="F955" s="121"/>
    </row>
    <row r="956" ht="15.75" customHeight="1">
      <c r="D956" s="104"/>
      <c r="F956" s="121"/>
    </row>
    <row r="957" ht="15.75" customHeight="1">
      <c r="D957" s="104"/>
      <c r="F957" s="121"/>
    </row>
    <row r="958" ht="15.75" customHeight="1">
      <c r="D958" s="104"/>
      <c r="F958" s="121"/>
    </row>
    <row r="959" ht="15.75" customHeight="1">
      <c r="D959" s="104"/>
      <c r="F959" s="121"/>
    </row>
    <row r="960" ht="15.75" customHeight="1">
      <c r="D960" s="104"/>
      <c r="F960" s="121"/>
    </row>
    <row r="961" ht="15.75" customHeight="1">
      <c r="D961" s="104"/>
      <c r="F961" s="121"/>
    </row>
    <row r="962" ht="15.75" customHeight="1">
      <c r="D962" s="104"/>
      <c r="F962" s="121"/>
    </row>
    <row r="963" ht="15.75" customHeight="1">
      <c r="D963" s="104"/>
      <c r="F963" s="121"/>
    </row>
    <row r="964" ht="15.75" customHeight="1">
      <c r="D964" s="104"/>
      <c r="F964" s="121"/>
    </row>
    <row r="965" ht="15.75" customHeight="1">
      <c r="D965" s="104"/>
      <c r="F965" s="121"/>
    </row>
    <row r="966" ht="15.75" customHeight="1">
      <c r="D966" s="104"/>
      <c r="F966" s="121"/>
    </row>
    <row r="967" ht="15.75" customHeight="1">
      <c r="D967" s="104"/>
      <c r="F967" s="121"/>
    </row>
    <row r="968" ht="15.75" customHeight="1">
      <c r="D968" s="104"/>
      <c r="F968" s="121"/>
    </row>
    <row r="969" ht="15.75" customHeight="1">
      <c r="D969" s="104"/>
      <c r="F969" s="121"/>
    </row>
    <row r="970" ht="15.75" customHeight="1">
      <c r="D970" s="104"/>
      <c r="F970" s="121"/>
    </row>
    <row r="971" ht="15.75" customHeight="1">
      <c r="D971" s="104"/>
      <c r="F971" s="121"/>
    </row>
    <row r="972" ht="15.75" customHeight="1">
      <c r="D972" s="104"/>
      <c r="F972" s="121"/>
    </row>
    <row r="973" ht="15.75" customHeight="1">
      <c r="D973" s="104"/>
      <c r="F973" s="121"/>
    </row>
    <row r="974" ht="15.75" customHeight="1">
      <c r="D974" s="104"/>
      <c r="F974" s="121"/>
    </row>
    <row r="975" ht="15.75" customHeight="1">
      <c r="D975" s="104"/>
      <c r="F975" s="121"/>
    </row>
    <row r="976" ht="15.75" customHeight="1">
      <c r="D976" s="104"/>
      <c r="F976" s="121"/>
    </row>
    <row r="977" ht="15.75" customHeight="1">
      <c r="D977" s="104"/>
      <c r="F977" s="121"/>
    </row>
    <row r="978" ht="15.75" customHeight="1">
      <c r="D978" s="104"/>
      <c r="F978" s="121"/>
    </row>
    <row r="979" ht="15.75" customHeight="1">
      <c r="D979" s="104"/>
      <c r="F979" s="121"/>
    </row>
    <row r="980" ht="15.75" customHeight="1">
      <c r="D980" s="104"/>
      <c r="F980" s="121"/>
    </row>
    <row r="981" ht="15.75" customHeight="1">
      <c r="D981" s="104"/>
      <c r="F981" s="121"/>
    </row>
    <row r="982" ht="15.75" customHeight="1">
      <c r="D982" s="104"/>
      <c r="F982" s="121"/>
    </row>
    <row r="983" ht="15.75" customHeight="1">
      <c r="D983" s="104"/>
      <c r="F983" s="121"/>
    </row>
    <row r="984" ht="15.75" customHeight="1">
      <c r="D984" s="104"/>
      <c r="F984" s="121"/>
    </row>
    <row r="985" ht="15.75" customHeight="1">
      <c r="D985" s="104"/>
      <c r="F985" s="121"/>
    </row>
    <row r="986" ht="15.75" customHeight="1">
      <c r="D986" s="104"/>
      <c r="F986" s="121"/>
    </row>
    <row r="987" ht="15.75" customHeight="1">
      <c r="D987" s="104"/>
      <c r="F987" s="121"/>
    </row>
    <row r="988" ht="15.75" customHeight="1">
      <c r="D988" s="104"/>
      <c r="F988" s="121"/>
    </row>
    <row r="989" ht="15.75" customHeight="1">
      <c r="D989" s="104"/>
      <c r="F989" s="121"/>
    </row>
    <row r="990" ht="15.75" customHeight="1">
      <c r="D990" s="104"/>
      <c r="F990" s="121"/>
    </row>
    <row r="991" ht="15.75" customHeight="1">
      <c r="D991" s="104"/>
      <c r="F991" s="121"/>
    </row>
    <row r="992" ht="15.75" customHeight="1">
      <c r="D992" s="104"/>
      <c r="F992" s="121"/>
    </row>
    <row r="993" ht="15.75" customHeight="1">
      <c r="D993" s="104"/>
      <c r="F993" s="121"/>
    </row>
    <row r="994" ht="15.75" customHeight="1">
      <c r="D994" s="104"/>
      <c r="F994" s="121"/>
    </row>
    <row r="995" ht="15.75" customHeight="1">
      <c r="D995" s="104"/>
      <c r="F995" s="121"/>
    </row>
    <row r="996" ht="15.75" customHeight="1">
      <c r="D996" s="104"/>
      <c r="F996" s="121"/>
    </row>
    <row r="997" ht="15.75" customHeight="1">
      <c r="D997" s="104"/>
      <c r="F997" s="121"/>
    </row>
    <row r="998" ht="15.75" customHeight="1">
      <c r="D998" s="104"/>
      <c r="F998" s="121"/>
    </row>
    <row r="999" ht="15.75" customHeight="1">
      <c r="D999" s="104"/>
      <c r="F999" s="121"/>
    </row>
    <row r="1000" ht="15.75" customHeight="1">
      <c r="D1000" s="104"/>
      <c r="F1000" s="121"/>
    </row>
  </sheetData>
  <mergeCells count="3">
    <mergeCell ref="A1:F2"/>
    <mergeCell ref="A6:A11"/>
    <mergeCell ref="A12:A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24" t="s">
        <v>185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23">
        <v>46241.0</v>
      </c>
      <c r="B4" s="31"/>
      <c r="C4" s="33"/>
      <c r="D4" s="38"/>
      <c r="E4" s="40">
        <v>7872.0</v>
      </c>
      <c r="F4" s="114">
        <v>48.0</v>
      </c>
    </row>
    <row r="5">
      <c r="A5" s="115">
        <v>46241.0</v>
      </c>
      <c r="B5" s="53" t="s">
        <v>32</v>
      </c>
      <c r="C5" s="125"/>
      <c r="D5" s="126">
        <v>240.0</v>
      </c>
      <c r="E5" s="58">
        <f t="shared" ref="E5:E51" si="1">E4-D5+C5</f>
        <v>7632</v>
      </c>
      <c r="F5" s="59">
        <f>E5/F4</f>
        <v>159</v>
      </c>
    </row>
    <row r="6">
      <c r="A6" s="115">
        <v>46245.0</v>
      </c>
      <c r="B6" s="127" t="s">
        <v>26</v>
      </c>
      <c r="C6" s="128"/>
      <c r="D6" s="126">
        <v>48.0</v>
      </c>
      <c r="E6" s="58">
        <f t="shared" si="1"/>
        <v>7584</v>
      </c>
      <c r="F6" s="59">
        <f>E6/F4</f>
        <v>158</v>
      </c>
    </row>
    <row r="7">
      <c r="A7" s="115"/>
      <c r="B7" s="53" t="s">
        <v>28</v>
      </c>
      <c r="C7" s="128"/>
      <c r="D7" s="126">
        <v>48.0</v>
      </c>
      <c r="E7" s="58">
        <f t="shared" si="1"/>
        <v>7536</v>
      </c>
      <c r="F7" s="59">
        <f>E7/F4</f>
        <v>157</v>
      </c>
    </row>
    <row r="8">
      <c r="A8" s="115"/>
      <c r="B8" s="129"/>
      <c r="C8" s="128"/>
      <c r="D8" s="130"/>
      <c r="E8" s="58">
        <f t="shared" si="1"/>
        <v>7536</v>
      </c>
      <c r="F8" s="59">
        <f>E8/F4</f>
        <v>157</v>
      </c>
    </row>
    <row r="9">
      <c r="A9" s="115"/>
      <c r="B9" s="129"/>
      <c r="C9" s="128"/>
      <c r="D9" s="130"/>
      <c r="E9" s="58">
        <f t="shared" si="1"/>
        <v>7536</v>
      </c>
      <c r="F9" s="59">
        <f>E9/F4</f>
        <v>157</v>
      </c>
    </row>
    <row r="10">
      <c r="A10" s="115"/>
      <c r="B10" s="129"/>
      <c r="C10" s="128"/>
      <c r="D10" s="130"/>
      <c r="E10" s="58">
        <f t="shared" si="1"/>
        <v>7536</v>
      </c>
      <c r="F10" s="59">
        <f>E10/F4</f>
        <v>157</v>
      </c>
    </row>
    <row r="11">
      <c r="A11" s="115"/>
      <c r="B11" s="129"/>
      <c r="C11" s="128"/>
      <c r="D11" s="130"/>
      <c r="E11" s="58">
        <f t="shared" si="1"/>
        <v>7536</v>
      </c>
      <c r="F11" s="59">
        <f>E11/F4</f>
        <v>157</v>
      </c>
    </row>
    <row r="12">
      <c r="A12" s="115"/>
      <c r="B12" s="129"/>
      <c r="C12" s="128"/>
      <c r="D12" s="130"/>
      <c r="E12" s="58">
        <f t="shared" si="1"/>
        <v>7536</v>
      </c>
      <c r="F12" s="59">
        <f>E12/F4</f>
        <v>157</v>
      </c>
    </row>
    <row r="13">
      <c r="A13" s="115"/>
      <c r="B13" s="129"/>
      <c r="C13" s="128"/>
      <c r="D13" s="130"/>
      <c r="E13" s="58">
        <f t="shared" si="1"/>
        <v>7536</v>
      </c>
      <c r="F13" s="59">
        <f>E13/F4</f>
        <v>157</v>
      </c>
    </row>
    <row r="14">
      <c r="A14" s="115"/>
      <c r="B14" s="129"/>
      <c r="C14" s="128"/>
      <c r="D14" s="130"/>
      <c r="E14" s="58">
        <f t="shared" si="1"/>
        <v>7536</v>
      </c>
      <c r="F14" s="59">
        <f>E14/F4</f>
        <v>157</v>
      </c>
    </row>
    <row r="15">
      <c r="A15" s="115"/>
      <c r="B15" s="92"/>
      <c r="C15" s="90"/>
      <c r="D15" s="130"/>
      <c r="E15" s="58">
        <f t="shared" si="1"/>
        <v>7536</v>
      </c>
      <c r="F15" s="59">
        <f>E15/F4</f>
        <v>157</v>
      </c>
    </row>
    <row r="16">
      <c r="A16" s="115"/>
      <c r="B16" s="92"/>
      <c r="C16" s="90"/>
      <c r="D16" s="130"/>
      <c r="E16" s="58">
        <f t="shared" si="1"/>
        <v>7536</v>
      </c>
      <c r="F16" s="59">
        <f>E16/F4</f>
        <v>157</v>
      </c>
    </row>
    <row r="17">
      <c r="A17" s="115"/>
      <c r="B17" s="92"/>
      <c r="C17" s="90"/>
      <c r="D17" s="130"/>
      <c r="E17" s="58">
        <f t="shared" si="1"/>
        <v>7536</v>
      </c>
      <c r="F17" s="59">
        <f>E17/F4</f>
        <v>157</v>
      </c>
    </row>
    <row r="18">
      <c r="A18" s="115"/>
      <c r="B18" s="92"/>
      <c r="C18" s="90"/>
      <c r="D18" s="130"/>
      <c r="E18" s="58">
        <f t="shared" si="1"/>
        <v>7536</v>
      </c>
      <c r="F18" s="59">
        <f>E18/F4</f>
        <v>157</v>
      </c>
    </row>
    <row r="19">
      <c r="A19" s="115"/>
      <c r="B19" s="92"/>
      <c r="C19" s="90"/>
      <c r="D19" s="130"/>
      <c r="E19" s="58">
        <f t="shared" si="1"/>
        <v>7536</v>
      </c>
      <c r="F19" s="59">
        <f>E19/F4</f>
        <v>157</v>
      </c>
    </row>
    <row r="20">
      <c r="A20" s="115"/>
      <c r="B20" s="92"/>
      <c r="C20" s="90"/>
      <c r="D20" s="134"/>
      <c r="E20" s="58">
        <f t="shared" si="1"/>
        <v>7536</v>
      </c>
      <c r="F20" s="59">
        <f>E20/F4</f>
        <v>157</v>
      </c>
    </row>
    <row r="21" ht="15.75" customHeight="1">
      <c r="A21" s="115"/>
      <c r="B21" s="92"/>
      <c r="C21" s="90"/>
      <c r="D21" s="134"/>
      <c r="E21" s="58">
        <f t="shared" si="1"/>
        <v>7536</v>
      </c>
      <c r="F21" s="59">
        <f>E21/F4</f>
        <v>157</v>
      </c>
    </row>
    <row r="22" ht="15.75" customHeight="1">
      <c r="A22" s="115"/>
      <c r="B22" s="92"/>
      <c r="C22" s="90"/>
      <c r="D22" s="134"/>
      <c r="E22" s="58">
        <f t="shared" si="1"/>
        <v>7536</v>
      </c>
      <c r="F22" s="59">
        <f>E22/F4</f>
        <v>157</v>
      </c>
    </row>
    <row r="23" ht="15.75" customHeight="1">
      <c r="A23" s="115"/>
      <c r="B23" s="92"/>
      <c r="C23" s="90"/>
      <c r="D23" s="134"/>
      <c r="E23" s="58">
        <f t="shared" si="1"/>
        <v>7536</v>
      </c>
      <c r="F23" s="59">
        <f>E23/F4</f>
        <v>157</v>
      </c>
    </row>
    <row r="24" ht="15.75" customHeight="1">
      <c r="A24" s="115"/>
      <c r="B24" s="92"/>
      <c r="C24" s="90"/>
      <c r="D24" s="134"/>
      <c r="E24" s="58">
        <f t="shared" si="1"/>
        <v>7536</v>
      </c>
      <c r="F24" s="59">
        <f>E24/F4</f>
        <v>157</v>
      </c>
    </row>
    <row r="25" ht="15.75" customHeight="1">
      <c r="A25" s="115"/>
      <c r="B25" s="92"/>
      <c r="C25" s="90"/>
      <c r="D25" s="134"/>
      <c r="E25" s="58">
        <f t="shared" si="1"/>
        <v>7536</v>
      </c>
      <c r="F25" s="59">
        <f>E25/F4</f>
        <v>157</v>
      </c>
    </row>
    <row r="26" ht="15.75" customHeight="1">
      <c r="A26" s="115"/>
      <c r="B26" s="92"/>
      <c r="C26" s="90"/>
      <c r="D26" s="134"/>
      <c r="E26" s="58">
        <f t="shared" si="1"/>
        <v>7536</v>
      </c>
      <c r="F26" s="59">
        <f>E26/F4</f>
        <v>157</v>
      </c>
    </row>
    <row r="27" ht="15.75" customHeight="1">
      <c r="A27" s="115"/>
      <c r="B27" s="92"/>
      <c r="C27" s="90"/>
      <c r="D27" s="134"/>
      <c r="E27" s="58">
        <f t="shared" si="1"/>
        <v>7536</v>
      </c>
      <c r="F27" s="59">
        <f>E27/F4</f>
        <v>157</v>
      </c>
    </row>
    <row r="28" ht="15.75" customHeight="1">
      <c r="A28" s="115"/>
      <c r="B28" s="92"/>
      <c r="C28" s="90"/>
      <c r="D28" s="134"/>
      <c r="E28" s="58">
        <f t="shared" si="1"/>
        <v>7536</v>
      </c>
      <c r="F28" s="59">
        <f>E28/F4</f>
        <v>157</v>
      </c>
    </row>
    <row r="29" ht="15.75" customHeight="1">
      <c r="A29" s="115"/>
      <c r="B29" s="92"/>
      <c r="C29" s="90"/>
      <c r="D29" s="134"/>
      <c r="E29" s="58">
        <f t="shared" si="1"/>
        <v>7536</v>
      </c>
      <c r="F29" s="59">
        <f>E29/F4</f>
        <v>157</v>
      </c>
    </row>
    <row r="30" ht="15.75" customHeight="1">
      <c r="A30" s="115"/>
      <c r="B30" s="92"/>
      <c r="C30" s="90"/>
      <c r="D30" s="134"/>
      <c r="E30" s="58">
        <f t="shared" si="1"/>
        <v>7536</v>
      </c>
      <c r="F30" s="59">
        <f>E30/F4</f>
        <v>157</v>
      </c>
    </row>
    <row r="31" ht="15.75" customHeight="1">
      <c r="A31" s="115"/>
      <c r="B31" s="92"/>
      <c r="C31" s="90"/>
      <c r="D31" s="134"/>
      <c r="E31" s="58">
        <f t="shared" si="1"/>
        <v>7536</v>
      </c>
      <c r="F31" s="59">
        <f>E31/F4</f>
        <v>157</v>
      </c>
    </row>
    <row r="32" ht="15.75" customHeight="1">
      <c r="A32" s="115"/>
      <c r="B32" s="92"/>
      <c r="C32" s="90"/>
      <c r="D32" s="134"/>
      <c r="E32" s="58">
        <f t="shared" si="1"/>
        <v>7536</v>
      </c>
      <c r="F32" s="59">
        <f>E32/F4</f>
        <v>157</v>
      </c>
    </row>
    <row r="33" ht="15.75" customHeight="1">
      <c r="A33" s="115"/>
      <c r="B33" s="92"/>
      <c r="C33" s="90"/>
      <c r="D33" s="134"/>
      <c r="E33" s="58">
        <f t="shared" si="1"/>
        <v>7536</v>
      </c>
      <c r="F33" s="59">
        <f>E33/F4</f>
        <v>157</v>
      </c>
    </row>
    <row r="34" ht="15.75" customHeight="1">
      <c r="A34" s="115"/>
      <c r="B34" s="92"/>
      <c r="C34" s="90"/>
      <c r="D34" s="134"/>
      <c r="E34" s="58">
        <f t="shared" si="1"/>
        <v>7536</v>
      </c>
      <c r="F34" s="59">
        <f>E34/F4</f>
        <v>157</v>
      </c>
    </row>
    <row r="35" ht="15.75" customHeight="1">
      <c r="A35" s="115"/>
      <c r="B35" s="92"/>
      <c r="C35" s="90"/>
      <c r="D35" s="134"/>
      <c r="E35" s="58">
        <f t="shared" si="1"/>
        <v>7536</v>
      </c>
      <c r="F35" s="59">
        <f>E35/F4</f>
        <v>157</v>
      </c>
    </row>
    <row r="36" ht="15.75" customHeight="1">
      <c r="A36" s="115"/>
      <c r="B36" s="92"/>
      <c r="C36" s="90"/>
      <c r="D36" s="134"/>
      <c r="E36" s="58">
        <f t="shared" si="1"/>
        <v>7536</v>
      </c>
      <c r="F36" s="59">
        <f>E36/F4</f>
        <v>157</v>
      </c>
    </row>
    <row r="37" ht="15.75" customHeight="1">
      <c r="A37" s="115"/>
      <c r="B37" s="92"/>
      <c r="C37" s="90"/>
      <c r="D37" s="134"/>
      <c r="E37" s="58">
        <f t="shared" si="1"/>
        <v>7536</v>
      </c>
      <c r="F37" s="59">
        <f>E37/F4</f>
        <v>157</v>
      </c>
    </row>
    <row r="38" ht="15.75" customHeight="1">
      <c r="A38" s="115"/>
      <c r="B38" s="92"/>
      <c r="C38" s="90"/>
      <c r="D38" s="134"/>
      <c r="E38" s="58">
        <f t="shared" si="1"/>
        <v>7536</v>
      </c>
      <c r="F38" s="59">
        <f>E38/F4</f>
        <v>157</v>
      </c>
    </row>
    <row r="39" ht="15.75" customHeight="1">
      <c r="A39" s="115"/>
      <c r="B39" s="92"/>
      <c r="C39" s="90"/>
      <c r="D39" s="134"/>
      <c r="E39" s="58">
        <f t="shared" si="1"/>
        <v>7536</v>
      </c>
      <c r="F39" s="59">
        <f>E39/F4</f>
        <v>157</v>
      </c>
    </row>
    <row r="40" ht="15.75" customHeight="1">
      <c r="A40" s="115"/>
      <c r="B40" s="92"/>
      <c r="C40" s="90"/>
      <c r="D40" s="134"/>
      <c r="E40" s="58">
        <f t="shared" si="1"/>
        <v>7536</v>
      </c>
      <c r="F40" s="59">
        <f>E40/F4</f>
        <v>157</v>
      </c>
    </row>
    <row r="41" ht="15.75" customHeight="1">
      <c r="A41" s="115"/>
      <c r="B41" s="92"/>
      <c r="C41" s="90"/>
      <c r="D41" s="134"/>
      <c r="E41" s="58">
        <f t="shared" si="1"/>
        <v>7536</v>
      </c>
      <c r="F41" s="59">
        <f>E41/F4</f>
        <v>157</v>
      </c>
    </row>
    <row r="42" ht="15.75" customHeight="1">
      <c r="A42" s="115"/>
      <c r="B42" s="92"/>
      <c r="C42" s="90"/>
      <c r="D42" s="134"/>
      <c r="E42" s="58">
        <f t="shared" si="1"/>
        <v>7536</v>
      </c>
      <c r="F42" s="59">
        <f>E42/F4</f>
        <v>157</v>
      </c>
    </row>
    <row r="43" ht="15.75" customHeight="1">
      <c r="A43" s="115"/>
      <c r="B43" s="92"/>
      <c r="C43" s="90"/>
      <c r="D43" s="134"/>
      <c r="E43" s="58">
        <f t="shared" si="1"/>
        <v>7536</v>
      </c>
      <c r="F43" s="59">
        <f>E43/F4</f>
        <v>157</v>
      </c>
    </row>
    <row r="44" ht="15.75" customHeight="1">
      <c r="A44" s="115"/>
      <c r="B44" s="92"/>
      <c r="C44" s="90"/>
      <c r="D44" s="134"/>
      <c r="E44" s="58">
        <f t="shared" si="1"/>
        <v>7536</v>
      </c>
      <c r="F44" s="59">
        <f>E44/F4</f>
        <v>157</v>
      </c>
    </row>
    <row r="45" ht="15.75" customHeight="1">
      <c r="A45" s="115"/>
      <c r="B45" s="92"/>
      <c r="C45" s="90"/>
      <c r="D45" s="134"/>
      <c r="E45" s="58">
        <f t="shared" si="1"/>
        <v>7536</v>
      </c>
      <c r="F45" s="59">
        <f>E45/F4</f>
        <v>157</v>
      </c>
    </row>
    <row r="46" ht="15.75" customHeight="1">
      <c r="A46" s="115"/>
      <c r="B46" s="92"/>
      <c r="C46" s="90"/>
      <c r="D46" s="134"/>
      <c r="E46" s="58">
        <f t="shared" si="1"/>
        <v>7536</v>
      </c>
      <c r="F46" s="59">
        <f>E46/F4</f>
        <v>157</v>
      </c>
    </row>
    <row r="47" ht="15.75" customHeight="1">
      <c r="A47" s="115"/>
      <c r="B47" s="92"/>
      <c r="C47" s="90"/>
      <c r="D47" s="134"/>
      <c r="E47" s="58">
        <f t="shared" si="1"/>
        <v>7536</v>
      </c>
      <c r="F47" s="59">
        <f>E47/F4</f>
        <v>157</v>
      </c>
    </row>
    <row r="48" ht="15.75" customHeight="1">
      <c r="A48" s="115"/>
      <c r="B48" s="92"/>
      <c r="C48" s="90"/>
      <c r="D48" s="134"/>
      <c r="E48" s="58">
        <f t="shared" si="1"/>
        <v>7536</v>
      </c>
      <c r="F48" s="59">
        <f>E48/F4</f>
        <v>157</v>
      </c>
    </row>
    <row r="49" ht="15.75" customHeight="1">
      <c r="A49" s="115"/>
      <c r="B49" s="92"/>
      <c r="C49" s="90"/>
      <c r="D49" s="134"/>
      <c r="E49" s="58">
        <f t="shared" si="1"/>
        <v>7536</v>
      </c>
      <c r="F49" s="59">
        <f>E49/F4</f>
        <v>157</v>
      </c>
    </row>
    <row r="50" ht="15.75" customHeight="1">
      <c r="A50" s="115"/>
      <c r="B50" s="92"/>
      <c r="C50" s="90"/>
      <c r="D50" s="134"/>
      <c r="E50" s="58">
        <f t="shared" si="1"/>
        <v>7536</v>
      </c>
      <c r="F50" s="59">
        <f>E50/F4</f>
        <v>157</v>
      </c>
    </row>
    <row r="51" ht="15.75" customHeight="1">
      <c r="A51" s="90"/>
      <c r="B51" s="92"/>
      <c r="C51" s="90"/>
      <c r="D51" s="134"/>
      <c r="E51" s="58">
        <f t="shared" si="1"/>
        <v>7536</v>
      </c>
      <c r="F51" s="59">
        <f>E51/F4</f>
        <v>157</v>
      </c>
    </row>
    <row r="52" ht="15.75" customHeight="1">
      <c r="A52" s="120"/>
      <c r="B52" s="101"/>
      <c r="D52" s="104"/>
      <c r="F52" s="121"/>
    </row>
    <row r="53" ht="15.75" customHeight="1">
      <c r="A53" s="120"/>
      <c r="B53" s="101"/>
      <c r="D53" s="104"/>
      <c r="F53" s="121"/>
    </row>
    <row r="54" ht="15.75" customHeight="1">
      <c r="A54" s="120"/>
      <c r="B54" s="101"/>
      <c r="D54" s="104"/>
      <c r="F54" s="121"/>
    </row>
    <row r="55" ht="15.75" customHeight="1">
      <c r="A55" s="120"/>
      <c r="B55" s="101"/>
      <c r="D55" s="104"/>
      <c r="F55" s="121"/>
    </row>
    <row r="56" ht="15.75" customHeight="1">
      <c r="A56" s="120"/>
      <c r="B56" s="101"/>
      <c r="D56" s="104"/>
      <c r="F56" s="121"/>
    </row>
    <row r="57" ht="15.75" customHeight="1">
      <c r="D57" s="104"/>
      <c r="F57" s="121"/>
    </row>
    <row r="58" ht="15.75" customHeight="1">
      <c r="D58" s="104"/>
      <c r="F58" s="121"/>
    </row>
    <row r="59" ht="15.75" customHeight="1">
      <c r="D59" s="104"/>
      <c r="F59" s="121"/>
    </row>
    <row r="60" ht="15.75" customHeight="1">
      <c r="D60" s="104"/>
      <c r="F60" s="121"/>
    </row>
    <row r="61" ht="15.75" customHeight="1">
      <c r="D61" s="104"/>
      <c r="F61" s="121"/>
    </row>
    <row r="62" ht="15.75" customHeight="1">
      <c r="D62" s="104"/>
      <c r="F62" s="121"/>
    </row>
    <row r="63" ht="15.75" customHeight="1">
      <c r="D63" s="104"/>
      <c r="F63" s="121"/>
    </row>
    <row r="64" ht="15.75" customHeight="1">
      <c r="D64" s="104"/>
      <c r="F64" s="121"/>
    </row>
    <row r="65" ht="15.75" customHeight="1">
      <c r="D65" s="104"/>
      <c r="F65" s="121"/>
    </row>
    <row r="66" ht="15.75" customHeight="1">
      <c r="D66" s="104"/>
      <c r="F66" s="121"/>
    </row>
    <row r="67" ht="15.75" customHeight="1">
      <c r="D67" s="104"/>
      <c r="F67" s="121"/>
    </row>
    <row r="68" ht="15.75" customHeight="1">
      <c r="D68" s="104"/>
      <c r="F68" s="121"/>
    </row>
    <row r="69" ht="15.75" customHeight="1">
      <c r="D69" s="104"/>
      <c r="F69" s="121"/>
    </row>
    <row r="70" ht="15.75" customHeight="1">
      <c r="D70" s="104"/>
      <c r="F70" s="121"/>
    </row>
    <row r="71" ht="15.75" customHeight="1">
      <c r="D71" s="104"/>
      <c r="F71" s="121"/>
    </row>
    <row r="72" ht="15.75" customHeight="1">
      <c r="D72" s="104"/>
      <c r="F72" s="121"/>
    </row>
    <row r="73" ht="15.75" customHeight="1">
      <c r="D73" s="104"/>
      <c r="F73" s="121"/>
    </row>
    <row r="74" ht="15.75" customHeight="1">
      <c r="D74" s="104"/>
      <c r="F74" s="121"/>
    </row>
    <row r="75" ht="15.75" customHeight="1">
      <c r="D75" s="104"/>
      <c r="F75" s="121"/>
    </row>
    <row r="76" ht="15.75" customHeight="1">
      <c r="D76" s="104"/>
      <c r="F76" s="121"/>
    </row>
    <row r="77" ht="15.75" customHeight="1">
      <c r="D77" s="104"/>
      <c r="F77" s="121"/>
    </row>
    <row r="78" ht="15.75" customHeight="1">
      <c r="D78" s="104"/>
      <c r="F78" s="121"/>
    </row>
    <row r="79" ht="15.75" customHeight="1">
      <c r="D79" s="104"/>
      <c r="F79" s="121"/>
    </row>
    <row r="80" ht="15.75" customHeight="1">
      <c r="D80" s="104"/>
      <c r="F80" s="121"/>
    </row>
    <row r="81" ht="15.75" customHeight="1">
      <c r="D81" s="104"/>
      <c r="F81" s="121"/>
    </row>
    <row r="82" ht="15.75" customHeight="1">
      <c r="D82" s="104"/>
      <c r="F82" s="121"/>
    </row>
    <row r="83" ht="15.75" customHeight="1">
      <c r="D83" s="104"/>
      <c r="F83" s="121"/>
    </row>
    <row r="84" ht="15.75" customHeight="1">
      <c r="D84" s="104"/>
      <c r="F84" s="121"/>
    </row>
    <row r="85" ht="15.75" customHeight="1">
      <c r="D85" s="104"/>
      <c r="F85" s="121"/>
    </row>
    <row r="86" ht="15.75" customHeight="1">
      <c r="D86" s="104"/>
      <c r="F86" s="121"/>
    </row>
    <row r="87" ht="15.75" customHeight="1">
      <c r="D87" s="104"/>
      <c r="F87" s="121"/>
    </row>
    <row r="88" ht="15.75" customHeight="1">
      <c r="D88" s="104"/>
      <c r="F88" s="121"/>
    </row>
    <row r="89" ht="15.75" customHeight="1">
      <c r="D89" s="104"/>
      <c r="F89" s="121"/>
    </row>
    <row r="90" ht="15.75" customHeight="1">
      <c r="D90" s="104"/>
      <c r="F90" s="121"/>
    </row>
    <row r="91" ht="15.75" customHeight="1">
      <c r="D91" s="104"/>
      <c r="F91" s="121"/>
    </row>
    <row r="92" ht="15.75" customHeight="1">
      <c r="D92" s="104"/>
      <c r="F92" s="121"/>
    </row>
    <row r="93" ht="15.75" customHeight="1">
      <c r="D93" s="104"/>
      <c r="F93" s="121"/>
    </row>
    <row r="94" ht="15.75" customHeight="1">
      <c r="D94" s="104"/>
      <c r="F94" s="121"/>
    </row>
    <row r="95" ht="15.75" customHeight="1">
      <c r="D95" s="104"/>
      <c r="F95" s="121"/>
    </row>
    <row r="96" ht="15.75" customHeight="1">
      <c r="D96" s="104"/>
      <c r="F96" s="121"/>
    </row>
    <row r="97" ht="15.75" customHeight="1">
      <c r="D97" s="104"/>
      <c r="F97" s="121"/>
    </row>
    <row r="98" ht="15.75" customHeight="1">
      <c r="D98" s="104"/>
      <c r="F98" s="121"/>
    </row>
    <row r="99" ht="15.75" customHeight="1">
      <c r="D99" s="104"/>
      <c r="F99" s="121"/>
    </row>
    <row r="100" ht="15.75" customHeight="1">
      <c r="D100" s="104"/>
      <c r="F100" s="121"/>
    </row>
    <row r="101" ht="15.75" customHeight="1">
      <c r="D101" s="104"/>
      <c r="F101" s="121"/>
    </row>
    <row r="102" ht="15.75" customHeight="1">
      <c r="D102" s="104"/>
      <c r="F102" s="121"/>
    </row>
    <row r="103" ht="15.75" customHeight="1">
      <c r="D103" s="104"/>
      <c r="F103" s="121"/>
    </row>
    <row r="104" ht="15.75" customHeight="1">
      <c r="D104" s="104"/>
      <c r="F104" s="121"/>
    </row>
    <row r="105" ht="15.75" customHeight="1">
      <c r="D105" s="104"/>
      <c r="F105" s="121"/>
    </row>
    <row r="106" ht="15.75" customHeight="1">
      <c r="D106" s="104"/>
      <c r="F106" s="121"/>
    </row>
    <row r="107" ht="15.75" customHeight="1">
      <c r="D107" s="104"/>
      <c r="F107" s="121"/>
    </row>
    <row r="108" ht="15.75" customHeight="1">
      <c r="D108" s="104"/>
      <c r="F108" s="121"/>
    </row>
    <row r="109" ht="15.75" customHeight="1">
      <c r="D109" s="104"/>
      <c r="F109" s="121"/>
    </row>
    <row r="110" ht="15.75" customHeight="1">
      <c r="D110" s="104"/>
      <c r="F110" s="121"/>
    </row>
    <row r="111" ht="15.75" customHeight="1">
      <c r="D111" s="104"/>
      <c r="F111" s="121"/>
    </row>
    <row r="112" ht="15.75" customHeight="1">
      <c r="D112" s="104"/>
      <c r="F112" s="121"/>
    </row>
    <row r="113" ht="15.75" customHeight="1">
      <c r="D113" s="104"/>
      <c r="F113" s="121"/>
    </row>
    <row r="114" ht="15.75" customHeight="1">
      <c r="D114" s="104"/>
      <c r="F114" s="121"/>
    </row>
    <row r="115" ht="15.75" customHeight="1">
      <c r="D115" s="104"/>
      <c r="F115" s="121"/>
    </row>
    <row r="116" ht="15.75" customHeight="1">
      <c r="D116" s="104"/>
      <c r="F116" s="121"/>
    </row>
    <row r="117" ht="15.75" customHeight="1">
      <c r="D117" s="104"/>
      <c r="F117" s="121"/>
    </row>
    <row r="118" ht="15.75" customHeight="1">
      <c r="D118" s="104"/>
      <c r="F118" s="121"/>
    </row>
    <row r="119" ht="15.75" customHeight="1">
      <c r="D119" s="104"/>
      <c r="F119" s="121"/>
    </row>
    <row r="120" ht="15.75" customHeight="1">
      <c r="D120" s="104"/>
      <c r="F120" s="121"/>
    </row>
    <row r="121" ht="15.75" customHeight="1">
      <c r="D121" s="104"/>
      <c r="F121" s="121"/>
    </row>
    <row r="122" ht="15.75" customHeight="1">
      <c r="D122" s="104"/>
      <c r="F122" s="121"/>
    </row>
    <row r="123" ht="15.75" customHeight="1">
      <c r="D123" s="104"/>
      <c r="F123" s="121"/>
    </row>
    <row r="124" ht="15.75" customHeight="1">
      <c r="D124" s="104"/>
      <c r="F124" s="121"/>
    </row>
    <row r="125" ht="15.75" customHeight="1">
      <c r="D125" s="104"/>
      <c r="F125" s="121"/>
    </row>
    <row r="126" ht="15.75" customHeight="1">
      <c r="D126" s="104"/>
      <c r="F126" s="121"/>
    </row>
    <row r="127" ht="15.75" customHeight="1">
      <c r="D127" s="104"/>
      <c r="F127" s="121"/>
    </row>
    <row r="128" ht="15.75" customHeight="1">
      <c r="D128" s="104"/>
      <c r="F128" s="121"/>
    </row>
    <row r="129" ht="15.75" customHeight="1">
      <c r="D129" s="104"/>
      <c r="F129" s="121"/>
    </row>
    <row r="130" ht="15.75" customHeight="1">
      <c r="D130" s="104"/>
      <c r="F130" s="121"/>
    </row>
    <row r="131" ht="15.75" customHeight="1">
      <c r="D131" s="104"/>
      <c r="F131" s="121"/>
    </row>
    <row r="132" ht="15.75" customHeight="1">
      <c r="D132" s="104"/>
      <c r="F132" s="121"/>
    </row>
    <row r="133" ht="15.75" customHeight="1">
      <c r="D133" s="104"/>
      <c r="F133" s="121"/>
    </row>
    <row r="134" ht="15.75" customHeight="1">
      <c r="D134" s="104"/>
      <c r="F134" s="121"/>
    </row>
    <row r="135" ht="15.75" customHeight="1">
      <c r="D135" s="104"/>
      <c r="F135" s="121"/>
    </row>
    <row r="136" ht="15.75" customHeight="1">
      <c r="D136" s="104"/>
      <c r="F136" s="121"/>
    </row>
    <row r="137" ht="15.75" customHeight="1">
      <c r="D137" s="104"/>
      <c r="F137" s="121"/>
    </row>
    <row r="138" ht="15.75" customHeight="1">
      <c r="D138" s="104"/>
      <c r="F138" s="121"/>
    </row>
    <row r="139" ht="15.75" customHeight="1">
      <c r="D139" s="104"/>
      <c r="F139" s="121"/>
    </row>
    <row r="140" ht="15.75" customHeight="1">
      <c r="D140" s="104"/>
      <c r="F140" s="121"/>
    </row>
    <row r="141" ht="15.75" customHeight="1">
      <c r="D141" s="104"/>
      <c r="F141" s="121"/>
    </row>
    <row r="142" ht="15.75" customHeight="1">
      <c r="D142" s="104"/>
      <c r="F142" s="121"/>
    </row>
    <row r="143" ht="15.75" customHeight="1">
      <c r="D143" s="104"/>
      <c r="F143" s="121"/>
    </row>
    <row r="144" ht="15.75" customHeight="1">
      <c r="D144" s="104"/>
      <c r="F144" s="121"/>
    </row>
    <row r="145" ht="15.75" customHeight="1">
      <c r="D145" s="104"/>
      <c r="F145" s="121"/>
    </row>
    <row r="146" ht="15.75" customHeight="1">
      <c r="D146" s="104"/>
      <c r="F146" s="121"/>
    </row>
    <row r="147" ht="15.75" customHeight="1">
      <c r="D147" s="104"/>
      <c r="F147" s="121"/>
    </row>
    <row r="148" ht="15.75" customHeight="1">
      <c r="D148" s="104"/>
      <c r="F148" s="121"/>
    </row>
    <row r="149" ht="15.75" customHeight="1">
      <c r="D149" s="104"/>
      <c r="F149" s="121"/>
    </row>
    <row r="150" ht="15.75" customHeight="1">
      <c r="D150" s="104"/>
      <c r="F150" s="121"/>
    </row>
    <row r="151" ht="15.75" customHeight="1">
      <c r="D151" s="104"/>
      <c r="F151" s="121"/>
    </row>
    <row r="152" ht="15.75" customHeight="1">
      <c r="D152" s="104"/>
      <c r="F152" s="121"/>
    </row>
    <row r="153" ht="15.75" customHeight="1">
      <c r="D153" s="104"/>
      <c r="F153" s="121"/>
    </row>
    <row r="154" ht="15.75" customHeight="1">
      <c r="D154" s="104"/>
      <c r="F154" s="121"/>
    </row>
    <row r="155" ht="15.75" customHeight="1">
      <c r="D155" s="104"/>
      <c r="F155" s="121"/>
    </row>
    <row r="156" ht="15.75" customHeight="1">
      <c r="D156" s="104"/>
      <c r="F156" s="121"/>
    </row>
    <row r="157" ht="15.75" customHeight="1">
      <c r="D157" s="104"/>
      <c r="F157" s="121"/>
    </row>
    <row r="158" ht="15.75" customHeight="1">
      <c r="D158" s="104"/>
      <c r="F158" s="121"/>
    </row>
    <row r="159" ht="15.75" customHeight="1">
      <c r="D159" s="104"/>
      <c r="F159" s="121"/>
    </row>
    <row r="160" ht="15.75" customHeight="1">
      <c r="D160" s="104"/>
      <c r="F160" s="121"/>
    </row>
    <row r="161" ht="15.75" customHeight="1">
      <c r="D161" s="104"/>
      <c r="F161" s="121"/>
    </row>
    <row r="162" ht="15.75" customHeight="1">
      <c r="D162" s="104"/>
      <c r="F162" s="121"/>
    </row>
    <row r="163" ht="15.75" customHeight="1">
      <c r="D163" s="104"/>
      <c r="F163" s="121"/>
    </row>
    <row r="164" ht="15.75" customHeight="1">
      <c r="D164" s="104"/>
      <c r="F164" s="121"/>
    </row>
    <row r="165" ht="15.75" customHeight="1">
      <c r="D165" s="104"/>
      <c r="F165" s="121"/>
    </row>
    <row r="166" ht="15.75" customHeight="1">
      <c r="D166" s="104"/>
      <c r="F166" s="121"/>
    </row>
    <row r="167" ht="15.75" customHeight="1">
      <c r="D167" s="104"/>
      <c r="F167" s="121"/>
    </row>
    <row r="168" ht="15.75" customHeight="1">
      <c r="D168" s="104"/>
      <c r="F168" s="121"/>
    </row>
    <row r="169" ht="15.75" customHeight="1">
      <c r="D169" s="104"/>
      <c r="F169" s="121"/>
    </row>
    <row r="170" ht="15.75" customHeight="1">
      <c r="D170" s="104"/>
      <c r="F170" s="121"/>
    </row>
    <row r="171" ht="15.75" customHeight="1">
      <c r="D171" s="104"/>
      <c r="F171" s="121"/>
    </row>
    <row r="172" ht="15.75" customHeight="1">
      <c r="D172" s="104"/>
      <c r="F172" s="121"/>
    </row>
    <row r="173" ht="15.75" customHeight="1">
      <c r="D173" s="104"/>
      <c r="F173" s="121"/>
    </row>
    <row r="174" ht="15.75" customHeight="1">
      <c r="D174" s="104"/>
      <c r="F174" s="121"/>
    </row>
    <row r="175" ht="15.75" customHeight="1">
      <c r="D175" s="104"/>
      <c r="F175" s="121"/>
    </row>
    <row r="176" ht="15.75" customHeight="1">
      <c r="D176" s="104"/>
      <c r="F176" s="121"/>
    </row>
    <row r="177" ht="15.75" customHeight="1">
      <c r="D177" s="104"/>
      <c r="F177" s="121"/>
    </row>
    <row r="178" ht="15.75" customHeight="1">
      <c r="D178" s="104"/>
      <c r="F178" s="121"/>
    </row>
    <row r="179" ht="15.75" customHeight="1">
      <c r="D179" s="104"/>
      <c r="F179" s="121"/>
    </row>
    <row r="180" ht="15.75" customHeight="1">
      <c r="D180" s="104"/>
      <c r="F180" s="121"/>
    </row>
    <row r="181" ht="15.75" customHeight="1">
      <c r="D181" s="104"/>
      <c r="F181" s="121"/>
    </row>
    <row r="182" ht="15.75" customHeight="1">
      <c r="D182" s="104"/>
      <c r="F182" s="121"/>
    </row>
    <row r="183" ht="15.75" customHeight="1">
      <c r="D183" s="104"/>
      <c r="F183" s="121"/>
    </row>
    <row r="184" ht="15.75" customHeight="1">
      <c r="D184" s="104"/>
      <c r="F184" s="121"/>
    </row>
    <row r="185" ht="15.75" customHeight="1">
      <c r="D185" s="104"/>
      <c r="F185" s="121"/>
    </row>
    <row r="186" ht="15.75" customHeight="1">
      <c r="D186" s="104"/>
      <c r="F186" s="121"/>
    </row>
    <row r="187" ht="15.75" customHeight="1">
      <c r="D187" s="104"/>
      <c r="F187" s="121"/>
    </row>
    <row r="188" ht="15.75" customHeight="1">
      <c r="D188" s="104"/>
      <c r="F188" s="121"/>
    </row>
    <row r="189" ht="15.75" customHeight="1">
      <c r="D189" s="104"/>
      <c r="F189" s="121"/>
    </row>
    <row r="190" ht="15.75" customHeight="1">
      <c r="D190" s="104"/>
      <c r="F190" s="121"/>
    </row>
    <row r="191" ht="15.75" customHeight="1">
      <c r="D191" s="104"/>
      <c r="F191" s="121"/>
    </row>
    <row r="192" ht="15.75" customHeight="1">
      <c r="D192" s="104"/>
      <c r="F192" s="121"/>
    </row>
    <row r="193" ht="15.75" customHeight="1">
      <c r="D193" s="104"/>
      <c r="F193" s="121"/>
    </row>
    <row r="194" ht="15.75" customHeight="1">
      <c r="D194" s="104"/>
      <c r="F194" s="121"/>
    </row>
    <row r="195" ht="15.75" customHeight="1">
      <c r="D195" s="104"/>
      <c r="F195" s="121"/>
    </row>
    <row r="196" ht="15.75" customHeight="1">
      <c r="D196" s="104"/>
      <c r="F196" s="121"/>
    </row>
    <row r="197" ht="15.75" customHeight="1">
      <c r="D197" s="104"/>
      <c r="F197" s="121"/>
    </row>
    <row r="198" ht="15.75" customHeight="1">
      <c r="D198" s="104"/>
      <c r="F198" s="121"/>
    </row>
    <row r="199" ht="15.75" customHeight="1">
      <c r="D199" s="104"/>
      <c r="F199" s="121"/>
    </row>
    <row r="200" ht="15.75" customHeight="1">
      <c r="D200" s="104"/>
      <c r="F200" s="121"/>
    </row>
    <row r="201" ht="15.75" customHeight="1">
      <c r="D201" s="104"/>
      <c r="F201" s="121"/>
    </row>
    <row r="202" ht="15.75" customHeight="1">
      <c r="D202" s="104"/>
      <c r="F202" s="121"/>
    </row>
    <row r="203" ht="15.75" customHeight="1">
      <c r="D203" s="104"/>
      <c r="F203" s="121"/>
    </row>
    <row r="204" ht="15.75" customHeight="1">
      <c r="D204" s="104"/>
      <c r="F204" s="121"/>
    </row>
    <row r="205" ht="15.75" customHeight="1">
      <c r="D205" s="104"/>
      <c r="F205" s="121"/>
    </row>
    <row r="206" ht="15.75" customHeight="1">
      <c r="D206" s="104"/>
      <c r="F206" s="121"/>
    </row>
    <row r="207" ht="15.75" customHeight="1">
      <c r="D207" s="104"/>
      <c r="F207" s="121"/>
    </row>
    <row r="208" ht="15.75" customHeight="1">
      <c r="D208" s="104"/>
      <c r="F208" s="121"/>
    </row>
    <row r="209" ht="15.75" customHeight="1">
      <c r="D209" s="104"/>
      <c r="F209" s="121"/>
    </row>
    <row r="210" ht="15.75" customHeight="1">
      <c r="D210" s="104"/>
      <c r="F210" s="121"/>
    </row>
    <row r="211" ht="15.75" customHeight="1">
      <c r="D211" s="104"/>
      <c r="F211" s="121"/>
    </row>
    <row r="212" ht="15.75" customHeight="1">
      <c r="D212" s="104"/>
      <c r="F212" s="121"/>
    </row>
    <row r="213" ht="15.75" customHeight="1">
      <c r="D213" s="104"/>
      <c r="F213" s="121"/>
    </row>
    <row r="214" ht="15.75" customHeight="1">
      <c r="D214" s="104"/>
      <c r="F214" s="121"/>
    </row>
    <row r="215" ht="15.75" customHeight="1">
      <c r="D215" s="104"/>
      <c r="F215" s="121"/>
    </row>
    <row r="216" ht="15.75" customHeight="1">
      <c r="D216" s="104"/>
      <c r="F216" s="121"/>
    </row>
    <row r="217" ht="15.75" customHeight="1">
      <c r="D217" s="104"/>
      <c r="F217" s="121"/>
    </row>
    <row r="218" ht="15.75" customHeight="1">
      <c r="D218" s="104"/>
      <c r="F218" s="121"/>
    </row>
    <row r="219" ht="15.75" customHeight="1">
      <c r="D219" s="104"/>
      <c r="F219" s="121"/>
    </row>
    <row r="220" ht="15.75" customHeight="1">
      <c r="D220" s="104"/>
      <c r="F220" s="121"/>
    </row>
    <row r="221" ht="15.75" customHeight="1">
      <c r="D221" s="104"/>
      <c r="F221" s="121"/>
    </row>
    <row r="222" ht="15.75" customHeight="1">
      <c r="D222" s="104"/>
      <c r="F222" s="121"/>
    </row>
    <row r="223" ht="15.75" customHeight="1">
      <c r="D223" s="104"/>
      <c r="F223" s="121"/>
    </row>
    <row r="224" ht="15.75" customHeight="1">
      <c r="D224" s="104"/>
      <c r="F224" s="121"/>
    </row>
    <row r="225" ht="15.75" customHeight="1">
      <c r="D225" s="104"/>
      <c r="F225" s="121"/>
    </row>
    <row r="226" ht="15.75" customHeight="1">
      <c r="D226" s="104"/>
      <c r="F226" s="121"/>
    </row>
    <row r="227" ht="15.75" customHeight="1">
      <c r="D227" s="104"/>
      <c r="F227" s="121"/>
    </row>
    <row r="228" ht="15.75" customHeight="1">
      <c r="D228" s="104"/>
      <c r="F228" s="121"/>
    </row>
    <row r="229" ht="15.75" customHeight="1">
      <c r="D229" s="104"/>
      <c r="F229" s="121"/>
    </row>
    <row r="230" ht="15.75" customHeight="1">
      <c r="D230" s="104"/>
      <c r="F230" s="121"/>
    </row>
    <row r="231" ht="15.75" customHeight="1">
      <c r="D231" s="104"/>
      <c r="F231" s="121"/>
    </row>
    <row r="232" ht="15.75" customHeight="1">
      <c r="D232" s="104"/>
      <c r="F232" s="121"/>
    </row>
    <row r="233" ht="15.75" customHeight="1">
      <c r="D233" s="104"/>
      <c r="F233" s="121"/>
    </row>
    <row r="234" ht="15.75" customHeight="1">
      <c r="D234" s="104"/>
      <c r="F234" s="121"/>
    </row>
    <row r="235" ht="15.75" customHeight="1">
      <c r="D235" s="104"/>
      <c r="F235" s="121"/>
    </row>
    <row r="236" ht="15.75" customHeight="1">
      <c r="D236" s="104"/>
      <c r="F236" s="121"/>
    </row>
    <row r="237" ht="15.75" customHeight="1">
      <c r="D237" s="104"/>
      <c r="F237" s="121"/>
    </row>
    <row r="238" ht="15.75" customHeight="1">
      <c r="D238" s="104"/>
      <c r="F238" s="121"/>
    </row>
    <row r="239" ht="15.75" customHeight="1">
      <c r="D239" s="104"/>
      <c r="F239" s="121"/>
    </row>
    <row r="240" ht="15.75" customHeight="1">
      <c r="D240" s="104"/>
      <c r="F240" s="121"/>
    </row>
    <row r="241" ht="15.75" customHeight="1">
      <c r="D241" s="104"/>
      <c r="F241" s="121"/>
    </row>
    <row r="242" ht="15.75" customHeight="1">
      <c r="D242" s="104"/>
      <c r="F242" s="121"/>
    </row>
    <row r="243" ht="15.75" customHeight="1">
      <c r="D243" s="104"/>
      <c r="F243" s="121"/>
    </row>
    <row r="244" ht="15.75" customHeight="1">
      <c r="D244" s="104"/>
      <c r="F244" s="121"/>
    </row>
    <row r="245" ht="15.75" customHeight="1">
      <c r="D245" s="104"/>
      <c r="F245" s="121"/>
    </row>
    <row r="246" ht="15.75" customHeight="1">
      <c r="D246" s="104"/>
      <c r="F246" s="121"/>
    </row>
    <row r="247" ht="15.75" customHeight="1">
      <c r="D247" s="104"/>
      <c r="F247" s="121"/>
    </row>
    <row r="248" ht="15.75" customHeight="1">
      <c r="D248" s="104"/>
      <c r="F248" s="121"/>
    </row>
    <row r="249" ht="15.75" customHeight="1">
      <c r="D249" s="104"/>
      <c r="F249" s="121"/>
    </row>
    <row r="250" ht="15.75" customHeight="1">
      <c r="D250" s="104"/>
      <c r="F250" s="121"/>
    </row>
    <row r="251" ht="15.75" customHeight="1">
      <c r="D251" s="104"/>
      <c r="F251" s="121"/>
    </row>
    <row r="252" ht="15.75" customHeight="1">
      <c r="D252" s="104"/>
      <c r="F252" s="121"/>
    </row>
    <row r="253" ht="15.75" customHeight="1">
      <c r="D253" s="104"/>
      <c r="F253" s="121"/>
    </row>
    <row r="254" ht="15.75" customHeight="1">
      <c r="D254" s="104"/>
      <c r="F254" s="121"/>
    </row>
    <row r="255" ht="15.75" customHeight="1">
      <c r="D255" s="104"/>
      <c r="F255" s="121"/>
    </row>
    <row r="256" ht="15.75" customHeight="1">
      <c r="D256" s="104"/>
      <c r="F256" s="121"/>
    </row>
    <row r="257" ht="15.75" customHeight="1">
      <c r="D257" s="104"/>
      <c r="F257" s="121"/>
    </row>
    <row r="258" ht="15.75" customHeight="1">
      <c r="D258" s="104"/>
      <c r="F258" s="121"/>
    </row>
    <row r="259" ht="15.75" customHeight="1">
      <c r="D259" s="104"/>
      <c r="F259" s="121"/>
    </row>
    <row r="260" ht="15.75" customHeight="1">
      <c r="D260" s="104"/>
      <c r="F260" s="121"/>
    </row>
    <row r="261" ht="15.75" customHeight="1">
      <c r="D261" s="104"/>
      <c r="F261" s="121"/>
    </row>
    <row r="262" ht="15.75" customHeight="1">
      <c r="D262" s="104"/>
      <c r="F262" s="121"/>
    </row>
    <row r="263" ht="15.75" customHeight="1">
      <c r="D263" s="104"/>
      <c r="F263" s="121"/>
    </row>
    <row r="264" ht="15.75" customHeight="1">
      <c r="D264" s="104"/>
      <c r="F264" s="121"/>
    </row>
    <row r="265" ht="15.75" customHeight="1">
      <c r="D265" s="104"/>
      <c r="F265" s="121"/>
    </row>
    <row r="266" ht="15.75" customHeight="1">
      <c r="D266" s="104"/>
      <c r="F266" s="121"/>
    </row>
    <row r="267" ht="15.75" customHeight="1">
      <c r="D267" s="104"/>
      <c r="F267" s="121"/>
    </row>
    <row r="268" ht="15.75" customHeight="1">
      <c r="D268" s="104"/>
      <c r="F268" s="121"/>
    </row>
    <row r="269" ht="15.75" customHeight="1">
      <c r="D269" s="104"/>
      <c r="F269" s="121"/>
    </row>
    <row r="270" ht="15.75" customHeight="1">
      <c r="D270" s="104"/>
      <c r="F270" s="121"/>
    </row>
    <row r="271" ht="15.75" customHeight="1">
      <c r="D271" s="104"/>
      <c r="F271" s="121"/>
    </row>
    <row r="272" ht="15.75" customHeight="1">
      <c r="D272" s="104"/>
      <c r="F272" s="121"/>
    </row>
    <row r="273" ht="15.75" customHeight="1">
      <c r="D273" s="104"/>
      <c r="F273" s="121"/>
    </row>
    <row r="274" ht="15.75" customHeight="1">
      <c r="D274" s="104"/>
      <c r="F274" s="121"/>
    </row>
    <row r="275" ht="15.75" customHeight="1">
      <c r="D275" s="104"/>
      <c r="F275" s="121"/>
    </row>
    <row r="276" ht="15.75" customHeight="1">
      <c r="D276" s="104"/>
      <c r="F276" s="121"/>
    </row>
    <row r="277" ht="15.75" customHeight="1">
      <c r="D277" s="104"/>
      <c r="F277" s="121"/>
    </row>
    <row r="278" ht="15.75" customHeight="1">
      <c r="D278" s="104"/>
      <c r="F278" s="121"/>
    </row>
    <row r="279" ht="15.75" customHeight="1">
      <c r="D279" s="104"/>
      <c r="F279" s="121"/>
    </row>
    <row r="280" ht="15.75" customHeight="1">
      <c r="D280" s="104"/>
      <c r="F280" s="121"/>
    </row>
    <row r="281" ht="15.75" customHeight="1">
      <c r="D281" s="104"/>
      <c r="F281" s="121"/>
    </row>
    <row r="282" ht="15.75" customHeight="1">
      <c r="D282" s="104"/>
      <c r="F282" s="121"/>
    </row>
    <row r="283" ht="15.75" customHeight="1">
      <c r="D283" s="104"/>
      <c r="F283" s="121"/>
    </row>
    <row r="284" ht="15.75" customHeight="1">
      <c r="D284" s="104"/>
      <c r="F284" s="121"/>
    </row>
    <row r="285" ht="15.75" customHeight="1">
      <c r="D285" s="104"/>
      <c r="F285" s="121"/>
    </row>
    <row r="286" ht="15.75" customHeight="1">
      <c r="D286" s="104"/>
      <c r="F286" s="121"/>
    </row>
    <row r="287" ht="15.75" customHeight="1">
      <c r="D287" s="104"/>
      <c r="F287" s="121"/>
    </row>
    <row r="288" ht="15.75" customHeight="1">
      <c r="D288" s="104"/>
      <c r="F288" s="121"/>
    </row>
    <row r="289" ht="15.75" customHeight="1">
      <c r="D289" s="104"/>
      <c r="F289" s="121"/>
    </row>
    <row r="290" ht="15.75" customHeight="1">
      <c r="D290" s="104"/>
      <c r="F290" s="121"/>
    </row>
    <row r="291" ht="15.75" customHeight="1">
      <c r="D291" s="104"/>
      <c r="F291" s="121"/>
    </row>
    <row r="292" ht="15.75" customHeight="1">
      <c r="D292" s="104"/>
      <c r="F292" s="121"/>
    </row>
    <row r="293" ht="15.75" customHeight="1">
      <c r="D293" s="104"/>
      <c r="F293" s="121"/>
    </row>
    <row r="294" ht="15.75" customHeight="1">
      <c r="D294" s="104"/>
      <c r="F294" s="121"/>
    </row>
    <row r="295" ht="15.75" customHeight="1">
      <c r="D295" s="104"/>
      <c r="F295" s="121"/>
    </row>
    <row r="296" ht="15.75" customHeight="1">
      <c r="D296" s="104"/>
      <c r="F296" s="121"/>
    </row>
    <row r="297" ht="15.75" customHeight="1">
      <c r="D297" s="104"/>
      <c r="F297" s="121"/>
    </row>
    <row r="298" ht="15.75" customHeight="1">
      <c r="D298" s="104"/>
      <c r="F298" s="121"/>
    </row>
    <row r="299" ht="15.75" customHeight="1">
      <c r="D299" s="104"/>
      <c r="F299" s="121"/>
    </row>
    <row r="300" ht="15.75" customHeight="1">
      <c r="D300" s="104"/>
      <c r="F300" s="121"/>
    </row>
    <row r="301" ht="15.75" customHeight="1">
      <c r="D301" s="104"/>
      <c r="F301" s="121"/>
    </row>
    <row r="302" ht="15.75" customHeight="1">
      <c r="D302" s="104"/>
      <c r="F302" s="121"/>
    </row>
    <row r="303" ht="15.75" customHeight="1">
      <c r="D303" s="104"/>
      <c r="F303" s="121"/>
    </row>
    <row r="304" ht="15.75" customHeight="1">
      <c r="D304" s="104"/>
      <c r="F304" s="121"/>
    </row>
    <row r="305" ht="15.75" customHeight="1">
      <c r="D305" s="104"/>
      <c r="F305" s="121"/>
    </row>
    <row r="306" ht="15.75" customHeight="1">
      <c r="D306" s="104"/>
      <c r="F306" s="121"/>
    </row>
    <row r="307" ht="15.75" customHeight="1">
      <c r="D307" s="104"/>
      <c r="F307" s="121"/>
    </row>
    <row r="308" ht="15.75" customHeight="1">
      <c r="D308" s="104"/>
      <c r="F308" s="121"/>
    </row>
    <row r="309" ht="15.75" customHeight="1">
      <c r="D309" s="104"/>
      <c r="F309" s="121"/>
    </row>
    <row r="310" ht="15.75" customHeight="1">
      <c r="D310" s="104"/>
      <c r="F310" s="121"/>
    </row>
    <row r="311" ht="15.75" customHeight="1">
      <c r="D311" s="104"/>
      <c r="F311" s="121"/>
    </row>
    <row r="312" ht="15.75" customHeight="1">
      <c r="D312" s="104"/>
      <c r="F312" s="121"/>
    </row>
    <row r="313" ht="15.75" customHeight="1">
      <c r="D313" s="104"/>
      <c r="F313" s="121"/>
    </row>
    <row r="314" ht="15.75" customHeight="1">
      <c r="D314" s="104"/>
      <c r="F314" s="121"/>
    </row>
    <row r="315" ht="15.75" customHeight="1">
      <c r="D315" s="104"/>
      <c r="F315" s="121"/>
    </row>
    <row r="316" ht="15.75" customHeight="1">
      <c r="D316" s="104"/>
      <c r="F316" s="121"/>
    </row>
    <row r="317" ht="15.75" customHeight="1">
      <c r="D317" s="104"/>
      <c r="F317" s="121"/>
    </row>
    <row r="318" ht="15.75" customHeight="1">
      <c r="D318" s="104"/>
      <c r="F318" s="121"/>
    </row>
    <row r="319" ht="15.75" customHeight="1">
      <c r="D319" s="104"/>
      <c r="F319" s="121"/>
    </row>
    <row r="320" ht="15.75" customHeight="1">
      <c r="D320" s="104"/>
      <c r="F320" s="121"/>
    </row>
    <row r="321" ht="15.75" customHeight="1">
      <c r="D321" s="104"/>
      <c r="F321" s="121"/>
    </row>
    <row r="322" ht="15.75" customHeight="1">
      <c r="D322" s="104"/>
      <c r="F322" s="121"/>
    </row>
    <row r="323" ht="15.75" customHeight="1">
      <c r="D323" s="104"/>
      <c r="F323" s="121"/>
    </row>
    <row r="324" ht="15.75" customHeight="1">
      <c r="D324" s="104"/>
      <c r="F324" s="121"/>
    </row>
    <row r="325" ht="15.75" customHeight="1">
      <c r="D325" s="104"/>
      <c r="F325" s="121"/>
    </row>
    <row r="326" ht="15.75" customHeight="1">
      <c r="D326" s="104"/>
      <c r="F326" s="121"/>
    </row>
    <row r="327" ht="15.75" customHeight="1">
      <c r="D327" s="104"/>
      <c r="F327" s="121"/>
    </row>
    <row r="328" ht="15.75" customHeight="1">
      <c r="D328" s="104"/>
      <c r="F328" s="121"/>
    </row>
    <row r="329" ht="15.75" customHeight="1">
      <c r="D329" s="104"/>
      <c r="F329" s="121"/>
    </row>
    <row r="330" ht="15.75" customHeight="1">
      <c r="D330" s="104"/>
      <c r="F330" s="121"/>
    </row>
    <row r="331" ht="15.75" customHeight="1">
      <c r="D331" s="104"/>
      <c r="F331" s="121"/>
    </row>
    <row r="332" ht="15.75" customHeight="1">
      <c r="D332" s="104"/>
      <c r="F332" s="121"/>
    </row>
    <row r="333" ht="15.75" customHeight="1">
      <c r="D333" s="104"/>
      <c r="F333" s="121"/>
    </row>
    <row r="334" ht="15.75" customHeight="1">
      <c r="D334" s="104"/>
      <c r="F334" s="121"/>
    </row>
    <row r="335" ht="15.75" customHeight="1">
      <c r="D335" s="104"/>
      <c r="F335" s="121"/>
    </row>
    <row r="336" ht="15.75" customHeight="1">
      <c r="D336" s="104"/>
      <c r="F336" s="121"/>
    </row>
    <row r="337" ht="15.75" customHeight="1">
      <c r="D337" s="104"/>
      <c r="F337" s="121"/>
    </row>
    <row r="338" ht="15.75" customHeight="1">
      <c r="D338" s="104"/>
      <c r="F338" s="121"/>
    </row>
    <row r="339" ht="15.75" customHeight="1">
      <c r="D339" s="104"/>
      <c r="F339" s="121"/>
    </row>
    <row r="340" ht="15.75" customHeight="1">
      <c r="D340" s="104"/>
      <c r="F340" s="121"/>
    </row>
    <row r="341" ht="15.75" customHeight="1">
      <c r="D341" s="104"/>
      <c r="F341" s="121"/>
    </row>
    <row r="342" ht="15.75" customHeight="1">
      <c r="D342" s="104"/>
      <c r="F342" s="121"/>
    </row>
    <row r="343" ht="15.75" customHeight="1">
      <c r="D343" s="104"/>
      <c r="F343" s="121"/>
    </row>
    <row r="344" ht="15.75" customHeight="1">
      <c r="D344" s="104"/>
      <c r="F344" s="121"/>
    </row>
    <row r="345" ht="15.75" customHeight="1">
      <c r="D345" s="104"/>
      <c r="F345" s="121"/>
    </row>
    <row r="346" ht="15.75" customHeight="1">
      <c r="D346" s="104"/>
      <c r="F346" s="121"/>
    </row>
    <row r="347" ht="15.75" customHeight="1">
      <c r="D347" s="104"/>
      <c r="F347" s="121"/>
    </row>
    <row r="348" ht="15.75" customHeight="1">
      <c r="D348" s="104"/>
      <c r="F348" s="121"/>
    </row>
    <row r="349" ht="15.75" customHeight="1">
      <c r="D349" s="104"/>
      <c r="F349" s="121"/>
    </row>
    <row r="350" ht="15.75" customHeight="1">
      <c r="D350" s="104"/>
      <c r="F350" s="121"/>
    </row>
    <row r="351" ht="15.75" customHeight="1">
      <c r="D351" s="104"/>
      <c r="F351" s="121"/>
    </row>
    <row r="352" ht="15.75" customHeight="1">
      <c r="D352" s="104"/>
      <c r="F352" s="121"/>
    </row>
    <row r="353" ht="15.75" customHeight="1">
      <c r="D353" s="104"/>
      <c r="F353" s="121"/>
    </row>
    <row r="354" ht="15.75" customHeight="1">
      <c r="D354" s="104"/>
      <c r="F354" s="121"/>
    </row>
    <row r="355" ht="15.75" customHeight="1">
      <c r="D355" s="104"/>
      <c r="F355" s="121"/>
    </row>
    <row r="356" ht="15.75" customHeight="1">
      <c r="D356" s="104"/>
      <c r="F356" s="121"/>
    </row>
    <row r="357" ht="15.75" customHeight="1">
      <c r="D357" s="104"/>
      <c r="F357" s="121"/>
    </row>
    <row r="358" ht="15.75" customHeight="1">
      <c r="D358" s="104"/>
      <c r="F358" s="121"/>
    </row>
    <row r="359" ht="15.75" customHeight="1">
      <c r="D359" s="104"/>
      <c r="F359" s="121"/>
    </row>
    <row r="360" ht="15.75" customHeight="1">
      <c r="D360" s="104"/>
      <c r="F360" s="121"/>
    </row>
    <row r="361" ht="15.75" customHeight="1">
      <c r="D361" s="104"/>
      <c r="F361" s="121"/>
    </row>
    <row r="362" ht="15.75" customHeight="1">
      <c r="D362" s="104"/>
      <c r="F362" s="121"/>
    </row>
    <row r="363" ht="15.75" customHeight="1">
      <c r="D363" s="104"/>
      <c r="F363" s="121"/>
    </row>
    <row r="364" ht="15.75" customHeight="1">
      <c r="D364" s="104"/>
      <c r="F364" s="121"/>
    </row>
    <row r="365" ht="15.75" customHeight="1">
      <c r="D365" s="104"/>
      <c r="F365" s="121"/>
    </row>
    <row r="366" ht="15.75" customHeight="1">
      <c r="D366" s="104"/>
      <c r="F366" s="121"/>
    </row>
    <row r="367" ht="15.75" customHeight="1">
      <c r="D367" s="104"/>
      <c r="F367" s="121"/>
    </row>
    <row r="368" ht="15.75" customHeight="1">
      <c r="D368" s="104"/>
      <c r="F368" s="121"/>
    </row>
    <row r="369" ht="15.75" customHeight="1">
      <c r="D369" s="104"/>
      <c r="F369" s="121"/>
    </row>
    <row r="370" ht="15.75" customHeight="1">
      <c r="D370" s="104"/>
      <c r="F370" s="121"/>
    </row>
    <row r="371" ht="15.75" customHeight="1">
      <c r="D371" s="104"/>
      <c r="F371" s="121"/>
    </row>
    <row r="372" ht="15.75" customHeight="1">
      <c r="D372" s="104"/>
      <c r="F372" s="121"/>
    </row>
    <row r="373" ht="15.75" customHeight="1">
      <c r="D373" s="104"/>
      <c r="F373" s="121"/>
    </row>
    <row r="374" ht="15.75" customHeight="1">
      <c r="D374" s="104"/>
      <c r="F374" s="121"/>
    </row>
    <row r="375" ht="15.75" customHeight="1">
      <c r="D375" s="104"/>
      <c r="F375" s="121"/>
    </row>
    <row r="376" ht="15.75" customHeight="1">
      <c r="D376" s="104"/>
      <c r="F376" s="121"/>
    </row>
    <row r="377" ht="15.75" customHeight="1">
      <c r="D377" s="104"/>
      <c r="F377" s="121"/>
    </row>
    <row r="378" ht="15.75" customHeight="1">
      <c r="D378" s="104"/>
      <c r="F378" s="121"/>
    </row>
    <row r="379" ht="15.75" customHeight="1">
      <c r="D379" s="104"/>
      <c r="F379" s="121"/>
    </row>
    <row r="380" ht="15.75" customHeight="1">
      <c r="D380" s="104"/>
      <c r="F380" s="121"/>
    </row>
    <row r="381" ht="15.75" customHeight="1">
      <c r="D381" s="104"/>
      <c r="F381" s="121"/>
    </row>
    <row r="382" ht="15.75" customHeight="1">
      <c r="D382" s="104"/>
      <c r="F382" s="121"/>
    </row>
    <row r="383" ht="15.75" customHeight="1">
      <c r="D383" s="104"/>
      <c r="F383" s="121"/>
    </row>
    <row r="384" ht="15.75" customHeight="1">
      <c r="D384" s="104"/>
      <c r="F384" s="121"/>
    </row>
    <row r="385" ht="15.75" customHeight="1">
      <c r="D385" s="104"/>
      <c r="F385" s="121"/>
    </row>
    <row r="386" ht="15.75" customHeight="1">
      <c r="D386" s="104"/>
      <c r="F386" s="121"/>
    </row>
    <row r="387" ht="15.75" customHeight="1">
      <c r="D387" s="104"/>
      <c r="F387" s="121"/>
    </row>
    <row r="388" ht="15.75" customHeight="1">
      <c r="D388" s="104"/>
      <c r="F388" s="121"/>
    </row>
    <row r="389" ht="15.75" customHeight="1">
      <c r="D389" s="104"/>
      <c r="F389" s="121"/>
    </row>
    <row r="390" ht="15.75" customHeight="1">
      <c r="D390" s="104"/>
      <c r="F390" s="121"/>
    </row>
    <row r="391" ht="15.75" customHeight="1">
      <c r="D391" s="104"/>
      <c r="F391" s="121"/>
    </row>
    <row r="392" ht="15.75" customHeight="1">
      <c r="D392" s="104"/>
      <c r="F392" s="121"/>
    </row>
    <row r="393" ht="15.75" customHeight="1">
      <c r="D393" s="104"/>
      <c r="F393" s="121"/>
    </row>
    <row r="394" ht="15.75" customHeight="1">
      <c r="D394" s="104"/>
      <c r="F394" s="121"/>
    </row>
    <row r="395" ht="15.75" customHeight="1">
      <c r="D395" s="104"/>
      <c r="F395" s="121"/>
    </row>
    <row r="396" ht="15.75" customHeight="1">
      <c r="D396" s="104"/>
      <c r="F396" s="121"/>
    </row>
    <row r="397" ht="15.75" customHeight="1">
      <c r="D397" s="104"/>
      <c r="F397" s="121"/>
    </row>
    <row r="398" ht="15.75" customHeight="1">
      <c r="D398" s="104"/>
      <c r="F398" s="121"/>
    </row>
    <row r="399" ht="15.75" customHeight="1">
      <c r="D399" s="104"/>
      <c r="F399" s="121"/>
    </row>
    <row r="400" ht="15.75" customHeight="1">
      <c r="D400" s="104"/>
      <c r="F400" s="121"/>
    </row>
    <row r="401" ht="15.75" customHeight="1">
      <c r="D401" s="104"/>
      <c r="F401" s="121"/>
    </row>
    <row r="402" ht="15.75" customHeight="1">
      <c r="D402" s="104"/>
      <c r="F402" s="121"/>
    </row>
    <row r="403" ht="15.75" customHeight="1">
      <c r="D403" s="104"/>
      <c r="F403" s="121"/>
    </row>
    <row r="404" ht="15.75" customHeight="1">
      <c r="D404" s="104"/>
      <c r="F404" s="121"/>
    </row>
    <row r="405" ht="15.75" customHeight="1">
      <c r="D405" s="104"/>
      <c r="F405" s="121"/>
    </row>
    <row r="406" ht="15.75" customHeight="1">
      <c r="D406" s="104"/>
      <c r="F406" s="121"/>
    </row>
    <row r="407" ht="15.75" customHeight="1">
      <c r="D407" s="104"/>
      <c r="F407" s="121"/>
    </row>
    <row r="408" ht="15.75" customHeight="1">
      <c r="D408" s="104"/>
      <c r="F408" s="121"/>
    </row>
    <row r="409" ht="15.75" customHeight="1">
      <c r="D409" s="104"/>
      <c r="F409" s="121"/>
    </row>
    <row r="410" ht="15.75" customHeight="1">
      <c r="D410" s="104"/>
      <c r="F410" s="121"/>
    </row>
    <row r="411" ht="15.75" customHeight="1">
      <c r="D411" s="104"/>
      <c r="F411" s="121"/>
    </row>
    <row r="412" ht="15.75" customHeight="1">
      <c r="D412" s="104"/>
      <c r="F412" s="121"/>
    </row>
    <row r="413" ht="15.75" customHeight="1">
      <c r="D413" s="104"/>
      <c r="F413" s="121"/>
    </row>
    <row r="414" ht="15.75" customHeight="1">
      <c r="D414" s="104"/>
      <c r="F414" s="121"/>
    </row>
    <row r="415" ht="15.75" customHeight="1">
      <c r="D415" s="104"/>
      <c r="F415" s="121"/>
    </row>
    <row r="416" ht="15.75" customHeight="1">
      <c r="D416" s="104"/>
      <c r="F416" s="121"/>
    </row>
    <row r="417" ht="15.75" customHeight="1">
      <c r="D417" s="104"/>
      <c r="F417" s="121"/>
    </row>
    <row r="418" ht="15.75" customHeight="1">
      <c r="D418" s="104"/>
      <c r="F418" s="121"/>
    </row>
    <row r="419" ht="15.75" customHeight="1">
      <c r="D419" s="104"/>
      <c r="F419" s="121"/>
    </row>
    <row r="420" ht="15.75" customHeight="1">
      <c r="D420" s="104"/>
      <c r="F420" s="121"/>
    </row>
    <row r="421" ht="15.75" customHeight="1">
      <c r="D421" s="104"/>
      <c r="F421" s="121"/>
    </row>
    <row r="422" ht="15.75" customHeight="1">
      <c r="D422" s="104"/>
      <c r="F422" s="121"/>
    </row>
    <row r="423" ht="15.75" customHeight="1">
      <c r="D423" s="104"/>
      <c r="F423" s="121"/>
    </row>
    <row r="424" ht="15.75" customHeight="1">
      <c r="D424" s="104"/>
      <c r="F424" s="121"/>
    </row>
    <row r="425" ht="15.75" customHeight="1">
      <c r="D425" s="104"/>
      <c r="F425" s="121"/>
    </row>
    <row r="426" ht="15.75" customHeight="1">
      <c r="D426" s="104"/>
      <c r="F426" s="121"/>
    </row>
    <row r="427" ht="15.75" customHeight="1">
      <c r="D427" s="104"/>
      <c r="F427" s="121"/>
    </row>
    <row r="428" ht="15.75" customHeight="1">
      <c r="D428" s="104"/>
      <c r="F428" s="121"/>
    </row>
    <row r="429" ht="15.75" customHeight="1">
      <c r="D429" s="104"/>
      <c r="F429" s="121"/>
    </row>
    <row r="430" ht="15.75" customHeight="1">
      <c r="D430" s="104"/>
      <c r="F430" s="121"/>
    </row>
    <row r="431" ht="15.75" customHeight="1">
      <c r="D431" s="104"/>
      <c r="F431" s="121"/>
    </row>
    <row r="432" ht="15.75" customHeight="1">
      <c r="D432" s="104"/>
      <c r="F432" s="121"/>
    </row>
    <row r="433" ht="15.75" customHeight="1">
      <c r="D433" s="104"/>
      <c r="F433" s="121"/>
    </row>
    <row r="434" ht="15.75" customHeight="1">
      <c r="D434" s="104"/>
      <c r="F434" s="121"/>
    </row>
    <row r="435" ht="15.75" customHeight="1">
      <c r="D435" s="104"/>
      <c r="F435" s="121"/>
    </row>
    <row r="436" ht="15.75" customHeight="1">
      <c r="D436" s="104"/>
      <c r="F436" s="121"/>
    </row>
    <row r="437" ht="15.75" customHeight="1">
      <c r="D437" s="104"/>
      <c r="F437" s="121"/>
    </row>
    <row r="438" ht="15.75" customHeight="1">
      <c r="D438" s="104"/>
      <c r="F438" s="121"/>
    </row>
    <row r="439" ht="15.75" customHeight="1">
      <c r="D439" s="104"/>
      <c r="F439" s="121"/>
    </row>
    <row r="440" ht="15.75" customHeight="1">
      <c r="D440" s="104"/>
      <c r="F440" s="121"/>
    </row>
    <row r="441" ht="15.75" customHeight="1">
      <c r="D441" s="104"/>
      <c r="F441" s="121"/>
    </row>
    <row r="442" ht="15.75" customHeight="1">
      <c r="D442" s="104"/>
      <c r="F442" s="121"/>
    </row>
    <row r="443" ht="15.75" customHeight="1">
      <c r="D443" s="104"/>
      <c r="F443" s="121"/>
    </row>
    <row r="444" ht="15.75" customHeight="1">
      <c r="D444" s="104"/>
      <c r="F444" s="121"/>
    </row>
    <row r="445" ht="15.75" customHeight="1">
      <c r="D445" s="104"/>
      <c r="F445" s="121"/>
    </row>
    <row r="446" ht="15.75" customHeight="1">
      <c r="D446" s="104"/>
      <c r="F446" s="121"/>
    </row>
    <row r="447" ht="15.75" customHeight="1">
      <c r="D447" s="104"/>
      <c r="F447" s="121"/>
    </row>
    <row r="448" ht="15.75" customHeight="1">
      <c r="D448" s="104"/>
      <c r="F448" s="121"/>
    </row>
    <row r="449" ht="15.75" customHeight="1">
      <c r="D449" s="104"/>
      <c r="F449" s="121"/>
    </row>
    <row r="450" ht="15.75" customHeight="1">
      <c r="D450" s="104"/>
      <c r="F450" s="121"/>
    </row>
    <row r="451" ht="15.75" customHeight="1">
      <c r="D451" s="104"/>
      <c r="F451" s="121"/>
    </row>
    <row r="452" ht="15.75" customHeight="1">
      <c r="D452" s="104"/>
      <c r="F452" s="121"/>
    </row>
    <row r="453" ht="15.75" customHeight="1">
      <c r="D453" s="104"/>
      <c r="F453" s="121"/>
    </row>
    <row r="454" ht="15.75" customHeight="1">
      <c r="D454" s="104"/>
      <c r="F454" s="121"/>
    </row>
    <row r="455" ht="15.75" customHeight="1">
      <c r="D455" s="104"/>
      <c r="F455" s="121"/>
    </row>
    <row r="456" ht="15.75" customHeight="1">
      <c r="D456" s="104"/>
      <c r="F456" s="121"/>
    </row>
    <row r="457" ht="15.75" customHeight="1">
      <c r="D457" s="104"/>
      <c r="F457" s="121"/>
    </row>
    <row r="458" ht="15.75" customHeight="1">
      <c r="D458" s="104"/>
      <c r="F458" s="121"/>
    </row>
    <row r="459" ht="15.75" customHeight="1">
      <c r="D459" s="104"/>
      <c r="F459" s="121"/>
    </row>
    <row r="460" ht="15.75" customHeight="1">
      <c r="D460" s="104"/>
      <c r="F460" s="121"/>
    </row>
    <row r="461" ht="15.75" customHeight="1">
      <c r="D461" s="104"/>
      <c r="F461" s="121"/>
    </row>
    <row r="462" ht="15.75" customHeight="1">
      <c r="D462" s="104"/>
      <c r="F462" s="121"/>
    </row>
    <row r="463" ht="15.75" customHeight="1">
      <c r="D463" s="104"/>
      <c r="F463" s="121"/>
    </row>
    <row r="464" ht="15.75" customHeight="1">
      <c r="D464" s="104"/>
      <c r="F464" s="121"/>
    </row>
    <row r="465" ht="15.75" customHeight="1">
      <c r="D465" s="104"/>
      <c r="F465" s="121"/>
    </row>
    <row r="466" ht="15.75" customHeight="1">
      <c r="D466" s="104"/>
      <c r="F466" s="121"/>
    </row>
    <row r="467" ht="15.75" customHeight="1">
      <c r="D467" s="104"/>
      <c r="F467" s="121"/>
    </row>
    <row r="468" ht="15.75" customHeight="1">
      <c r="D468" s="104"/>
      <c r="F468" s="121"/>
    </row>
    <row r="469" ht="15.75" customHeight="1">
      <c r="D469" s="104"/>
      <c r="F469" s="121"/>
    </row>
    <row r="470" ht="15.75" customHeight="1">
      <c r="D470" s="104"/>
      <c r="F470" s="121"/>
    </row>
    <row r="471" ht="15.75" customHeight="1">
      <c r="D471" s="104"/>
      <c r="F471" s="121"/>
    </row>
    <row r="472" ht="15.75" customHeight="1">
      <c r="D472" s="104"/>
      <c r="F472" s="121"/>
    </row>
    <row r="473" ht="15.75" customHeight="1">
      <c r="D473" s="104"/>
      <c r="F473" s="121"/>
    </row>
    <row r="474" ht="15.75" customHeight="1">
      <c r="D474" s="104"/>
      <c r="F474" s="121"/>
    </row>
    <row r="475" ht="15.75" customHeight="1">
      <c r="D475" s="104"/>
      <c r="F475" s="121"/>
    </row>
    <row r="476" ht="15.75" customHeight="1">
      <c r="D476" s="104"/>
      <c r="F476" s="121"/>
    </row>
    <row r="477" ht="15.75" customHeight="1">
      <c r="D477" s="104"/>
      <c r="F477" s="121"/>
    </row>
    <row r="478" ht="15.75" customHeight="1">
      <c r="D478" s="104"/>
      <c r="F478" s="121"/>
    </row>
    <row r="479" ht="15.75" customHeight="1">
      <c r="D479" s="104"/>
      <c r="F479" s="121"/>
    </row>
    <row r="480" ht="15.75" customHeight="1">
      <c r="D480" s="104"/>
      <c r="F480" s="121"/>
    </row>
    <row r="481" ht="15.75" customHeight="1">
      <c r="D481" s="104"/>
      <c r="F481" s="121"/>
    </row>
    <row r="482" ht="15.75" customHeight="1">
      <c r="D482" s="104"/>
      <c r="F482" s="121"/>
    </row>
    <row r="483" ht="15.75" customHeight="1">
      <c r="D483" s="104"/>
      <c r="F483" s="121"/>
    </row>
    <row r="484" ht="15.75" customHeight="1">
      <c r="D484" s="104"/>
      <c r="F484" s="121"/>
    </row>
    <row r="485" ht="15.75" customHeight="1">
      <c r="D485" s="104"/>
      <c r="F485" s="121"/>
    </row>
    <row r="486" ht="15.75" customHeight="1">
      <c r="D486" s="104"/>
      <c r="F486" s="121"/>
    </row>
    <row r="487" ht="15.75" customHeight="1">
      <c r="D487" s="104"/>
      <c r="F487" s="121"/>
    </row>
    <row r="488" ht="15.75" customHeight="1">
      <c r="D488" s="104"/>
      <c r="F488" s="121"/>
    </row>
    <row r="489" ht="15.75" customHeight="1">
      <c r="D489" s="104"/>
      <c r="F489" s="121"/>
    </row>
    <row r="490" ht="15.75" customHeight="1">
      <c r="D490" s="104"/>
      <c r="F490" s="121"/>
    </row>
    <row r="491" ht="15.75" customHeight="1">
      <c r="D491" s="104"/>
      <c r="F491" s="121"/>
    </row>
    <row r="492" ht="15.75" customHeight="1">
      <c r="D492" s="104"/>
      <c r="F492" s="121"/>
    </row>
    <row r="493" ht="15.75" customHeight="1">
      <c r="D493" s="104"/>
      <c r="F493" s="121"/>
    </row>
    <row r="494" ht="15.75" customHeight="1">
      <c r="D494" s="104"/>
      <c r="F494" s="121"/>
    </row>
    <row r="495" ht="15.75" customHeight="1">
      <c r="D495" s="104"/>
      <c r="F495" s="121"/>
    </row>
    <row r="496" ht="15.75" customHeight="1">
      <c r="D496" s="104"/>
      <c r="F496" s="121"/>
    </row>
    <row r="497" ht="15.75" customHeight="1">
      <c r="D497" s="104"/>
      <c r="F497" s="121"/>
    </row>
    <row r="498" ht="15.75" customHeight="1">
      <c r="D498" s="104"/>
      <c r="F498" s="121"/>
    </row>
    <row r="499" ht="15.75" customHeight="1">
      <c r="D499" s="104"/>
      <c r="F499" s="121"/>
    </row>
    <row r="500" ht="15.75" customHeight="1">
      <c r="D500" s="104"/>
      <c r="F500" s="121"/>
    </row>
    <row r="501" ht="15.75" customHeight="1">
      <c r="D501" s="104"/>
      <c r="F501" s="121"/>
    </row>
    <row r="502" ht="15.75" customHeight="1">
      <c r="D502" s="104"/>
      <c r="F502" s="121"/>
    </row>
    <row r="503" ht="15.75" customHeight="1">
      <c r="D503" s="104"/>
      <c r="F503" s="121"/>
    </row>
    <row r="504" ht="15.75" customHeight="1">
      <c r="D504" s="104"/>
      <c r="F504" s="121"/>
    </row>
    <row r="505" ht="15.75" customHeight="1">
      <c r="D505" s="104"/>
      <c r="F505" s="121"/>
    </row>
    <row r="506" ht="15.75" customHeight="1">
      <c r="D506" s="104"/>
      <c r="F506" s="121"/>
    </row>
    <row r="507" ht="15.75" customHeight="1">
      <c r="D507" s="104"/>
      <c r="F507" s="121"/>
    </row>
    <row r="508" ht="15.75" customHeight="1">
      <c r="D508" s="104"/>
      <c r="F508" s="121"/>
    </row>
    <row r="509" ht="15.75" customHeight="1">
      <c r="D509" s="104"/>
      <c r="F509" s="121"/>
    </row>
    <row r="510" ht="15.75" customHeight="1">
      <c r="D510" s="104"/>
      <c r="F510" s="121"/>
    </row>
    <row r="511" ht="15.75" customHeight="1">
      <c r="D511" s="104"/>
      <c r="F511" s="121"/>
    </row>
    <row r="512" ht="15.75" customHeight="1">
      <c r="D512" s="104"/>
      <c r="F512" s="121"/>
    </row>
    <row r="513" ht="15.75" customHeight="1">
      <c r="D513" s="104"/>
      <c r="F513" s="121"/>
    </row>
    <row r="514" ht="15.75" customHeight="1">
      <c r="D514" s="104"/>
      <c r="F514" s="121"/>
    </row>
    <row r="515" ht="15.75" customHeight="1">
      <c r="D515" s="104"/>
      <c r="F515" s="121"/>
    </row>
    <row r="516" ht="15.75" customHeight="1">
      <c r="D516" s="104"/>
      <c r="F516" s="121"/>
    </row>
    <row r="517" ht="15.75" customHeight="1">
      <c r="D517" s="104"/>
      <c r="F517" s="121"/>
    </row>
    <row r="518" ht="15.75" customHeight="1">
      <c r="D518" s="104"/>
      <c r="F518" s="121"/>
    </row>
    <row r="519" ht="15.75" customHeight="1">
      <c r="D519" s="104"/>
      <c r="F519" s="121"/>
    </row>
    <row r="520" ht="15.75" customHeight="1">
      <c r="D520" s="104"/>
      <c r="F520" s="121"/>
    </row>
    <row r="521" ht="15.75" customHeight="1">
      <c r="D521" s="104"/>
      <c r="F521" s="121"/>
    </row>
    <row r="522" ht="15.75" customHeight="1">
      <c r="D522" s="104"/>
      <c r="F522" s="121"/>
    </row>
    <row r="523" ht="15.75" customHeight="1">
      <c r="D523" s="104"/>
      <c r="F523" s="121"/>
    </row>
    <row r="524" ht="15.75" customHeight="1">
      <c r="D524" s="104"/>
      <c r="F524" s="121"/>
    </row>
    <row r="525" ht="15.75" customHeight="1">
      <c r="D525" s="104"/>
      <c r="F525" s="121"/>
    </row>
    <row r="526" ht="15.75" customHeight="1">
      <c r="D526" s="104"/>
      <c r="F526" s="121"/>
    </row>
    <row r="527" ht="15.75" customHeight="1">
      <c r="D527" s="104"/>
      <c r="F527" s="121"/>
    </row>
    <row r="528" ht="15.75" customHeight="1">
      <c r="D528" s="104"/>
      <c r="F528" s="121"/>
    </row>
    <row r="529" ht="15.75" customHeight="1">
      <c r="D529" s="104"/>
      <c r="F529" s="121"/>
    </row>
    <row r="530" ht="15.75" customHeight="1">
      <c r="D530" s="104"/>
      <c r="F530" s="121"/>
    </row>
    <row r="531" ht="15.75" customHeight="1">
      <c r="D531" s="104"/>
      <c r="F531" s="121"/>
    </row>
    <row r="532" ht="15.75" customHeight="1">
      <c r="D532" s="104"/>
      <c r="F532" s="121"/>
    </row>
    <row r="533" ht="15.75" customHeight="1">
      <c r="D533" s="104"/>
      <c r="F533" s="121"/>
    </row>
    <row r="534" ht="15.75" customHeight="1">
      <c r="D534" s="104"/>
      <c r="F534" s="121"/>
    </row>
    <row r="535" ht="15.75" customHeight="1">
      <c r="D535" s="104"/>
      <c r="F535" s="121"/>
    </row>
    <row r="536" ht="15.75" customHeight="1">
      <c r="D536" s="104"/>
      <c r="F536" s="121"/>
    </row>
    <row r="537" ht="15.75" customHeight="1">
      <c r="D537" s="104"/>
      <c r="F537" s="121"/>
    </row>
    <row r="538" ht="15.75" customHeight="1">
      <c r="D538" s="104"/>
      <c r="F538" s="121"/>
    </row>
    <row r="539" ht="15.75" customHeight="1">
      <c r="D539" s="104"/>
      <c r="F539" s="121"/>
    </row>
    <row r="540" ht="15.75" customHeight="1">
      <c r="D540" s="104"/>
      <c r="F540" s="121"/>
    </row>
    <row r="541" ht="15.75" customHeight="1">
      <c r="D541" s="104"/>
      <c r="F541" s="121"/>
    </row>
    <row r="542" ht="15.75" customHeight="1">
      <c r="D542" s="104"/>
      <c r="F542" s="121"/>
    </row>
    <row r="543" ht="15.75" customHeight="1">
      <c r="D543" s="104"/>
      <c r="F543" s="121"/>
    </row>
    <row r="544" ht="15.75" customHeight="1">
      <c r="D544" s="104"/>
      <c r="F544" s="121"/>
    </row>
    <row r="545" ht="15.75" customHeight="1">
      <c r="D545" s="104"/>
      <c r="F545" s="121"/>
    </row>
    <row r="546" ht="15.75" customHeight="1">
      <c r="D546" s="104"/>
      <c r="F546" s="121"/>
    </row>
    <row r="547" ht="15.75" customHeight="1">
      <c r="D547" s="104"/>
      <c r="F547" s="121"/>
    </row>
    <row r="548" ht="15.75" customHeight="1">
      <c r="D548" s="104"/>
      <c r="F548" s="121"/>
    </row>
    <row r="549" ht="15.75" customHeight="1">
      <c r="D549" s="104"/>
      <c r="F549" s="121"/>
    </row>
    <row r="550" ht="15.75" customHeight="1">
      <c r="D550" s="104"/>
      <c r="F550" s="121"/>
    </row>
    <row r="551" ht="15.75" customHeight="1">
      <c r="D551" s="104"/>
      <c r="F551" s="121"/>
    </row>
    <row r="552" ht="15.75" customHeight="1">
      <c r="D552" s="104"/>
      <c r="F552" s="121"/>
    </row>
    <row r="553" ht="15.75" customHeight="1">
      <c r="D553" s="104"/>
      <c r="F553" s="121"/>
    </row>
    <row r="554" ht="15.75" customHeight="1">
      <c r="D554" s="104"/>
      <c r="F554" s="121"/>
    </row>
    <row r="555" ht="15.75" customHeight="1">
      <c r="D555" s="104"/>
      <c r="F555" s="121"/>
    </row>
    <row r="556" ht="15.75" customHeight="1">
      <c r="D556" s="104"/>
      <c r="F556" s="121"/>
    </row>
    <row r="557" ht="15.75" customHeight="1">
      <c r="D557" s="104"/>
      <c r="F557" s="121"/>
    </row>
    <row r="558" ht="15.75" customHeight="1">
      <c r="D558" s="104"/>
      <c r="F558" s="121"/>
    </row>
    <row r="559" ht="15.75" customHeight="1">
      <c r="D559" s="104"/>
      <c r="F559" s="121"/>
    </row>
    <row r="560" ht="15.75" customHeight="1">
      <c r="D560" s="104"/>
      <c r="F560" s="121"/>
    </row>
    <row r="561" ht="15.75" customHeight="1">
      <c r="D561" s="104"/>
      <c r="F561" s="121"/>
    </row>
    <row r="562" ht="15.75" customHeight="1">
      <c r="D562" s="104"/>
      <c r="F562" s="121"/>
    </row>
    <row r="563" ht="15.75" customHeight="1">
      <c r="D563" s="104"/>
      <c r="F563" s="121"/>
    </row>
    <row r="564" ht="15.75" customHeight="1">
      <c r="D564" s="104"/>
      <c r="F564" s="121"/>
    </row>
    <row r="565" ht="15.75" customHeight="1">
      <c r="D565" s="104"/>
      <c r="F565" s="121"/>
    </row>
    <row r="566" ht="15.75" customHeight="1">
      <c r="D566" s="104"/>
      <c r="F566" s="121"/>
    </row>
    <row r="567" ht="15.75" customHeight="1">
      <c r="D567" s="104"/>
      <c r="F567" s="121"/>
    </row>
    <row r="568" ht="15.75" customHeight="1">
      <c r="D568" s="104"/>
      <c r="F568" s="121"/>
    </row>
    <row r="569" ht="15.75" customHeight="1">
      <c r="D569" s="104"/>
      <c r="F569" s="121"/>
    </row>
    <row r="570" ht="15.75" customHeight="1">
      <c r="D570" s="104"/>
      <c r="F570" s="121"/>
    </row>
    <row r="571" ht="15.75" customHeight="1">
      <c r="D571" s="104"/>
      <c r="F571" s="121"/>
    </row>
    <row r="572" ht="15.75" customHeight="1">
      <c r="D572" s="104"/>
      <c r="F572" s="121"/>
    </row>
    <row r="573" ht="15.75" customHeight="1">
      <c r="D573" s="104"/>
      <c r="F573" s="121"/>
    </row>
    <row r="574" ht="15.75" customHeight="1">
      <c r="D574" s="104"/>
      <c r="F574" s="121"/>
    </row>
    <row r="575" ht="15.75" customHeight="1">
      <c r="D575" s="104"/>
      <c r="F575" s="121"/>
    </row>
    <row r="576" ht="15.75" customHeight="1">
      <c r="D576" s="104"/>
      <c r="F576" s="121"/>
    </row>
    <row r="577" ht="15.75" customHeight="1">
      <c r="D577" s="104"/>
      <c r="F577" s="121"/>
    </row>
    <row r="578" ht="15.75" customHeight="1">
      <c r="D578" s="104"/>
      <c r="F578" s="121"/>
    </row>
    <row r="579" ht="15.75" customHeight="1">
      <c r="D579" s="104"/>
      <c r="F579" s="121"/>
    </row>
    <row r="580" ht="15.75" customHeight="1">
      <c r="D580" s="104"/>
      <c r="F580" s="121"/>
    </row>
    <row r="581" ht="15.75" customHeight="1">
      <c r="D581" s="104"/>
      <c r="F581" s="121"/>
    </row>
    <row r="582" ht="15.75" customHeight="1">
      <c r="D582" s="104"/>
      <c r="F582" s="121"/>
    </row>
    <row r="583" ht="15.75" customHeight="1">
      <c r="D583" s="104"/>
      <c r="F583" s="121"/>
    </row>
    <row r="584" ht="15.75" customHeight="1">
      <c r="D584" s="104"/>
      <c r="F584" s="121"/>
    </row>
    <row r="585" ht="15.75" customHeight="1">
      <c r="D585" s="104"/>
      <c r="F585" s="121"/>
    </row>
    <row r="586" ht="15.75" customHeight="1">
      <c r="D586" s="104"/>
      <c r="F586" s="121"/>
    </row>
    <row r="587" ht="15.75" customHeight="1">
      <c r="D587" s="104"/>
      <c r="F587" s="121"/>
    </row>
    <row r="588" ht="15.75" customHeight="1">
      <c r="D588" s="104"/>
      <c r="F588" s="121"/>
    </row>
    <row r="589" ht="15.75" customHeight="1">
      <c r="D589" s="104"/>
      <c r="F589" s="121"/>
    </row>
    <row r="590" ht="15.75" customHeight="1">
      <c r="D590" s="104"/>
      <c r="F590" s="121"/>
    </row>
    <row r="591" ht="15.75" customHeight="1">
      <c r="D591" s="104"/>
      <c r="F591" s="121"/>
    </row>
    <row r="592" ht="15.75" customHeight="1">
      <c r="D592" s="104"/>
      <c r="F592" s="121"/>
    </row>
    <row r="593" ht="15.75" customHeight="1">
      <c r="D593" s="104"/>
      <c r="F593" s="121"/>
    </row>
    <row r="594" ht="15.75" customHeight="1">
      <c r="D594" s="104"/>
      <c r="F594" s="121"/>
    </row>
    <row r="595" ht="15.75" customHeight="1">
      <c r="D595" s="104"/>
      <c r="F595" s="121"/>
    </row>
    <row r="596" ht="15.75" customHeight="1">
      <c r="D596" s="104"/>
      <c r="F596" s="121"/>
    </row>
    <row r="597" ht="15.75" customHeight="1">
      <c r="D597" s="104"/>
      <c r="F597" s="121"/>
    </row>
    <row r="598" ht="15.75" customHeight="1">
      <c r="D598" s="104"/>
      <c r="F598" s="121"/>
    </row>
    <row r="599" ht="15.75" customHeight="1">
      <c r="D599" s="104"/>
      <c r="F599" s="121"/>
    </row>
    <row r="600" ht="15.75" customHeight="1">
      <c r="D600" s="104"/>
      <c r="F600" s="121"/>
    </row>
    <row r="601" ht="15.75" customHeight="1">
      <c r="D601" s="104"/>
      <c r="F601" s="121"/>
    </row>
    <row r="602" ht="15.75" customHeight="1">
      <c r="D602" s="104"/>
      <c r="F602" s="121"/>
    </row>
    <row r="603" ht="15.75" customHeight="1">
      <c r="D603" s="104"/>
      <c r="F603" s="121"/>
    </row>
    <row r="604" ht="15.75" customHeight="1">
      <c r="D604" s="104"/>
      <c r="F604" s="121"/>
    </row>
    <row r="605" ht="15.75" customHeight="1">
      <c r="D605" s="104"/>
      <c r="F605" s="121"/>
    </row>
    <row r="606" ht="15.75" customHeight="1">
      <c r="D606" s="104"/>
      <c r="F606" s="121"/>
    </row>
    <row r="607" ht="15.75" customHeight="1">
      <c r="D607" s="104"/>
      <c r="F607" s="121"/>
    </row>
    <row r="608" ht="15.75" customHeight="1">
      <c r="D608" s="104"/>
      <c r="F608" s="121"/>
    </row>
    <row r="609" ht="15.75" customHeight="1">
      <c r="D609" s="104"/>
      <c r="F609" s="121"/>
    </row>
    <row r="610" ht="15.75" customHeight="1">
      <c r="D610" s="104"/>
      <c r="F610" s="121"/>
    </row>
    <row r="611" ht="15.75" customHeight="1">
      <c r="D611" s="104"/>
      <c r="F611" s="121"/>
    </row>
    <row r="612" ht="15.75" customHeight="1">
      <c r="D612" s="104"/>
      <c r="F612" s="121"/>
    </row>
    <row r="613" ht="15.75" customHeight="1">
      <c r="D613" s="104"/>
      <c r="F613" s="121"/>
    </row>
    <row r="614" ht="15.75" customHeight="1">
      <c r="D614" s="104"/>
      <c r="F614" s="121"/>
    </row>
    <row r="615" ht="15.75" customHeight="1">
      <c r="D615" s="104"/>
      <c r="F615" s="121"/>
    </row>
    <row r="616" ht="15.75" customHeight="1">
      <c r="D616" s="104"/>
      <c r="F616" s="121"/>
    </row>
    <row r="617" ht="15.75" customHeight="1">
      <c r="D617" s="104"/>
      <c r="F617" s="121"/>
    </row>
    <row r="618" ht="15.75" customHeight="1">
      <c r="D618" s="104"/>
      <c r="F618" s="121"/>
    </row>
    <row r="619" ht="15.75" customHeight="1">
      <c r="D619" s="104"/>
      <c r="F619" s="121"/>
    </row>
    <row r="620" ht="15.75" customHeight="1">
      <c r="D620" s="104"/>
      <c r="F620" s="121"/>
    </row>
    <row r="621" ht="15.75" customHeight="1">
      <c r="D621" s="104"/>
      <c r="F621" s="121"/>
    </row>
    <row r="622" ht="15.75" customHeight="1">
      <c r="D622" s="104"/>
      <c r="F622" s="121"/>
    </row>
    <row r="623" ht="15.75" customHeight="1">
      <c r="D623" s="104"/>
      <c r="F623" s="121"/>
    </row>
    <row r="624" ht="15.75" customHeight="1">
      <c r="D624" s="104"/>
      <c r="F624" s="121"/>
    </row>
    <row r="625" ht="15.75" customHeight="1">
      <c r="D625" s="104"/>
      <c r="F625" s="121"/>
    </row>
    <row r="626" ht="15.75" customHeight="1">
      <c r="D626" s="104"/>
      <c r="F626" s="121"/>
    </row>
    <row r="627" ht="15.75" customHeight="1">
      <c r="D627" s="104"/>
      <c r="F627" s="121"/>
    </row>
    <row r="628" ht="15.75" customHeight="1">
      <c r="D628" s="104"/>
      <c r="F628" s="121"/>
    </row>
    <row r="629" ht="15.75" customHeight="1">
      <c r="D629" s="104"/>
      <c r="F629" s="121"/>
    </row>
    <row r="630" ht="15.75" customHeight="1">
      <c r="D630" s="104"/>
      <c r="F630" s="121"/>
    </row>
    <row r="631" ht="15.75" customHeight="1">
      <c r="D631" s="104"/>
      <c r="F631" s="121"/>
    </row>
    <row r="632" ht="15.75" customHeight="1">
      <c r="D632" s="104"/>
      <c r="F632" s="121"/>
    </row>
    <row r="633" ht="15.75" customHeight="1">
      <c r="D633" s="104"/>
      <c r="F633" s="121"/>
    </row>
    <row r="634" ht="15.75" customHeight="1">
      <c r="D634" s="104"/>
      <c r="F634" s="121"/>
    </row>
    <row r="635" ht="15.75" customHeight="1">
      <c r="D635" s="104"/>
      <c r="F635" s="121"/>
    </row>
    <row r="636" ht="15.75" customHeight="1">
      <c r="D636" s="104"/>
      <c r="F636" s="121"/>
    </row>
    <row r="637" ht="15.75" customHeight="1">
      <c r="D637" s="104"/>
      <c r="F637" s="121"/>
    </row>
    <row r="638" ht="15.75" customHeight="1">
      <c r="D638" s="104"/>
      <c r="F638" s="121"/>
    </row>
    <row r="639" ht="15.75" customHeight="1">
      <c r="D639" s="104"/>
      <c r="F639" s="121"/>
    </row>
    <row r="640" ht="15.75" customHeight="1">
      <c r="D640" s="104"/>
      <c r="F640" s="121"/>
    </row>
    <row r="641" ht="15.75" customHeight="1">
      <c r="D641" s="104"/>
      <c r="F641" s="121"/>
    </row>
    <row r="642" ht="15.75" customHeight="1">
      <c r="D642" s="104"/>
      <c r="F642" s="121"/>
    </row>
    <row r="643" ht="15.75" customHeight="1">
      <c r="D643" s="104"/>
      <c r="F643" s="121"/>
    </row>
    <row r="644" ht="15.75" customHeight="1">
      <c r="D644" s="104"/>
      <c r="F644" s="121"/>
    </row>
    <row r="645" ht="15.75" customHeight="1">
      <c r="D645" s="104"/>
      <c r="F645" s="121"/>
    </row>
    <row r="646" ht="15.75" customHeight="1">
      <c r="D646" s="104"/>
      <c r="F646" s="121"/>
    </row>
    <row r="647" ht="15.75" customHeight="1">
      <c r="D647" s="104"/>
      <c r="F647" s="121"/>
    </row>
    <row r="648" ht="15.75" customHeight="1">
      <c r="D648" s="104"/>
      <c r="F648" s="121"/>
    </row>
    <row r="649" ht="15.75" customHeight="1">
      <c r="D649" s="104"/>
      <c r="F649" s="121"/>
    </row>
    <row r="650" ht="15.75" customHeight="1">
      <c r="D650" s="104"/>
      <c r="F650" s="121"/>
    </row>
    <row r="651" ht="15.75" customHeight="1">
      <c r="D651" s="104"/>
      <c r="F651" s="121"/>
    </row>
    <row r="652" ht="15.75" customHeight="1">
      <c r="D652" s="104"/>
      <c r="F652" s="121"/>
    </row>
    <row r="653" ht="15.75" customHeight="1">
      <c r="D653" s="104"/>
      <c r="F653" s="121"/>
    </row>
    <row r="654" ht="15.75" customHeight="1">
      <c r="D654" s="104"/>
      <c r="F654" s="121"/>
    </row>
    <row r="655" ht="15.75" customHeight="1">
      <c r="D655" s="104"/>
      <c r="F655" s="121"/>
    </row>
    <row r="656" ht="15.75" customHeight="1">
      <c r="D656" s="104"/>
      <c r="F656" s="121"/>
    </row>
    <row r="657" ht="15.75" customHeight="1">
      <c r="D657" s="104"/>
      <c r="F657" s="121"/>
    </row>
    <row r="658" ht="15.75" customHeight="1">
      <c r="D658" s="104"/>
      <c r="F658" s="121"/>
    </row>
    <row r="659" ht="15.75" customHeight="1">
      <c r="D659" s="104"/>
      <c r="F659" s="121"/>
    </row>
    <row r="660" ht="15.75" customHeight="1">
      <c r="D660" s="104"/>
      <c r="F660" s="121"/>
    </row>
    <row r="661" ht="15.75" customHeight="1">
      <c r="D661" s="104"/>
      <c r="F661" s="121"/>
    </row>
    <row r="662" ht="15.75" customHeight="1">
      <c r="D662" s="104"/>
      <c r="F662" s="121"/>
    </row>
    <row r="663" ht="15.75" customHeight="1">
      <c r="D663" s="104"/>
      <c r="F663" s="121"/>
    </row>
    <row r="664" ht="15.75" customHeight="1">
      <c r="D664" s="104"/>
      <c r="F664" s="121"/>
    </row>
    <row r="665" ht="15.75" customHeight="1">
      <c r="D665" s="104"/>
      <c r="F665" s="121"/>
    </row>
    <row r="666" ht="15.75" customHeight="1">
      <c r="D666" s="104"/>
      <c r="F666" s="121"/>
    </row>
    <row r="667" ht="15.75" customHeight="1">
      <c r="D667" s="104"/>
      <c r="F667" s="121"/>
    </row>
    <row r="668" ht="15.75" customHeight="1">
      <c r="D668" s="104"/>
      <c r="F668" s="121"/>
    </row>
    <row r="669" ht="15.75" customHeight="1">
      <c r="D669" s="104"/>
      <c r="F669" s="121"/>
    </row>
    <row r="670" ht="15.75" customHeight="1">
      <c r="D670" s="104"/>
      <c r="F670" s="121"/>
    </row>
    <row r="671" ht="15.75" customHeight="1">
      <c r="D671" s="104"/>
      <c r="F671" s="121"/>
    </row>
    <row r="672" ht="15.75" customHeight="1">
      <c r="D672" s="104"/>
      <c r="F672" s="121"/>
    </row>
    <row r="673" ht="15.75" customHeight="1">
      <c r="D673" s="104"/>
      <c r="F673" s="121"/>
    </row>
    <row r="674" ht="15.75" customHeight="1">
      <c r="D674" s="104"/>
      <c r="F674" s="121"/>
    </row>
    <row r="675" ht="15.75" customHeight="1">
      <c r="D675" s="104"/>
      <c r="F675" s="121"/>
    </row>
    <row r="676" ht="15.75" customHeight="1">
      <c r="D676" s="104"/>
      <c r="F676" s="121"/>
    </row>
    <row r="677" ht="15.75" customHeight="1">
      <c r="D677" s="104"/>
      <c r="F677" s="121"/>
    </row>
    <row r="678" ht="15.75" customHeight="1">
      <c r="D678" s="104"/>
      <c r="F678" s="121"/>
    </row>
    <row r="679" ht="15.75" customHeight="1">
      <c r="D679" s="104"/>
      <c r="F679" s="121"/>
    </row>
    <row r="680" ht="15.75" customHeight="1">
      <c r="D680" s="104"/>
      <c r="F680" s="121"/>
    </row>
    <row r="681" ht="15.75" customHeight="1">
      <c r="D681" s="104"/>
      <c r="F681" s="121"/>
    </row>
    <row r="682" ht="15.75" customHeight="1">
      <c r="D682" s="104"/>
      <c r="F682" s="121"/>
    </row>
    <row r="683" ht="15.75" customHeight="1">
      <c r="D683" s="104"/>
      <c r="F683" s="121"/>
    </row>
    <row r="684" ht="15.75" customHeight="1">
      <c r="D684" s="104"/>
      <c r="F684" s="121"/>
    </row>
    <row r="685" ht="15.75" customHeight="1">
      <c r="D685" s="104"/>
      <c r="F685" s="121"/>
    </row>
    <row r="686" ht="15.75" customHeight="1">
      <c r="D686" s="104"/>
      <c r="F686" s="121"/>
    </row>
    <row r="687" ht="15.75" customHeight="1">
      <c r="D687" s="104"/>
      <c r="F687" s="121"/>
    </row>
    <row r="688" ht="15.75" customHeight="1">
      <c r="D688" s="104"/>
      <c r="F688" s="121"/>
    </row>
    <row r="689" ht="15.75" customHeight="1">
      <c r="D689" s="104"/>
      <c r="F689" s="121"/>
    </row>
    <row r="690" ht="15.75" customHeight="1">
      <c r="D690" s="104"/>
      <c r="F690" s="121"/>
    </row>
    <row r="691" ht="15.75" customHeight="1">
      <c r="D691" s="104"/>
      <c r="F691" s="121"/>
    </row>
    <row r="692" ht="15.75" customHeight="1">
      <c r="D692" s="104"/>
      <c r="F692" s="121"/>
    </row>
    <row r="693" ht="15.75" customHeight="1">
      <c r="D693" s="104"/>
      <c r="F693" s="121"/>
    </row>
    <row r="694" ht="15.75" customHeight="1">
      <c r="D694" s="104"/>
      <c r="F694" s="121"/>
    </row>
    <row r="695" ht="15.75" customHeight="1">
      <c r="D695" s="104"/>
      <c r="F695" s="121"/>
    </row>
    <row r="696" ht="15.75" customHeight="1">
      <c r="D696" s="104"/>
      <c r="F696" s="121"/>
    </row>
    <row r="697" ht="15.75" customHeight="1">
      <c r="D697" s="104"/>
      <c r="F697" s="121"/>
    </row>
    <row r="698" ht="15.75" customHeight="1">
      <c r="D698" s="104"/>
      <c r="F698" s="121"/>
    </row>
    <row r="699" ht="15.75" customHeight="1">
      <c r="D699" s="104"/>
      <c r="F699" s="121"/>
    </row>
    <row r="700" ht="15.75" customHeight="1">
      <c r="D700" s="104"/>
      <c r="F700" s="121"/>
    </row>
    <row r="701" ht="15.75" customHeight="1">
      <c r="D701" s="104"/>
      <c r="F701" s="121"/>
    </row>
    <row r="702" ht="15.75" customHeight="1">
      <c r="D702" s="104"/>
      <c r="F702" s="121"/>
    </row>
    <row r="703" ht="15.75" customHeight="1">
      <c r="D703" s="104"/>
      <c r="F703" s="121"/>
    </row>
    <row r="704" ht="15.75" customHeight="1">
      <c r="D704" s="104"/>
      <c r="F704" s="121"/>
    </row>
    <row r="705" ht="15.75" customHeight="1">
      <c r="D705" s="104"/>
      <c r="F705" s="121"/>
    </row>
    <row r="706" ht="15.75" customHeight="1">
      <c r="D706" s="104"/>
      <c r="F706" s="121"/>
    </row>
    <row r="707" ht="15.75" customHeight="1">
      <c r="D707" s="104"/>
      <c r="F707" s="121"/>
    </row>
    <row r="708" ht="15.75" customHeight="1">
      <c r="D708" s="104"/>
      <c r="F708" s="121"/>
    </row>
    <row r="709" ht="15.75" customHeight="1">
      <c r="D709" s="104"/>
      <c r="F709" s="121"/>
    </row>
    <row r="710" ht="15.75" customHeight="1">
      <c r="D710" s="104"/>
      <c r="F710" s="121"/>
    </row>
    <row r="711" ht="15.75" customHeight="1">
      <c r="D711" s="104"/>
      <c r="F711" s="121"/>
    </row>
    <row r="712" ht="15.75" customHeight="1">
      <c r="D712" s="104"/>
      <c r="F712" s="121"/>
    </row>
    <row r="713" ht="15.75" customHeight="1">
      <c r="D713" s="104"/>
      <c r="F713" s="121"/>
    </row>
    <row r="714" ht="15.75" customHeight="1">
      <c r="D714" s="104"/>
      <c r="F714" s="121"/>
    </row>
    <row r="715" ht="15.75" customHeight="1">
      <c r="D715" s="104"/>
      <c r="F715" s="121"/>
    </row>
    <row r="716" ht="15.75" customHeight="1">
      <c r="D716" s="104"/>
      <c r="F716" s="121"/>
    </row>
    <row r="717" ht="15.75" customHeight="1">
      <c r="D717" s="104"/>
      <c r="F717" s="121"/>
    </row>
    <row r="718" ht="15.75" customHeight="1">
      <c r="D718" s="104"/>
      <c r="F718" s="121"/>
    </row>
    <row r="719" ht="15.75" customHeight="1">
      <c r="D719" s="104"/>
      <c r="F719" s="121"/>
    </row>
    <row r="720" ht="15.75" customHeight="1">
      <c r="D720" s="104"/>
      <c r="F720" s="121"/>
    </row>
    <row r="721" ht="15.75" customHeight="1">
      <c r="D721" s="104"/>
      <c r="F721" s="121"/>
    </row>
    <row r="722" ht="15.75" customHeight="1">
      <c r="D722" s="104"/>
      <c r="F722" s="121"/>
    </row>
    <row r="723" ht="15.75" customHeight="1">
      <c r="D723" s="104"/>
      <c r="F723" s="121"/>
    </row>
    <row r="724" ht="15.75" customHeight="1">
      <c r="D724" s="104"/>
      <c r="F724" s="121"/>
    </row>
    <row r="725" ht="15.75" customHeight="1">
      <c r="D725" s="104"/>
      <c r="F725" s="121"/>
    </row>
    <row r="726" ht="15.75" customHeight="1">
      <c r="D726" s="104"/>
      <c r="F726" s="121"/>
    </row>
    <row r="727" ht="15.75" customHeight="1">
      <c r="D727" s="104"/>
      <c r="F727" s="121"/>
    </row>
    <row r="728" ht="15.75" customHeight="1">
      <c r="D728" s="104"/>
      <c r="F728" s="121"/>
    </row>
    <row r="729" ht="15.75" customHeight="1">
      <c r="D729" s="104"/>
      <c r="F729" s="121"/>
    </row>
    <row r="730" ht="15.75" customHeight="1">
      <c r="D730" s="104"/>
      <c r="F730" s="121"/>
    </row>
    <row r="731" ht="15.75" customHeight="1">
      <c r="D731" s="104"/>
      <c r="F731" s="121"/>
    </row>
    <row r="732" ht="15.75" customHeight="1">
      <c r="D732" s="104"/>
      <c r="F732" s="121"/>
    </row>
    <row r="733" ht="15.75" customHeight="1">
      <c r="D733" s="104"/>
      <c r="F733" s="121"/>
    </row>
    <row r="734" ht="15.75" customHeight="1">
      <c r="D734" s="104"/>
      <c r="F734" s="121"/>
    </row>
    <row r="735" ht="15.75" customHeight="1">
      <c r="D735" s="104"/>
      <c r="F735" s="121"/>
    </row>
    <row r="736" ht="15.75" customHeight="1">
      <c r="D736" s="104"/>
      <c r="F736" s="121"/>
    </row>
    <row r="737" ht="15.75" customHeight="1">
      <c r="D737" s="104"/>
      <c r="F737" s="121"/>
    </row>
    <row r="738" ht="15.75" customHeight="1">
      <c r="D738" s="104"/>
      <c r="F738" s="121"/>
    </row>
    <row r="739" ht="15.75" customHeight="1">
      <c r="D739" s="104"/>
      <c r="F739" s="121"/>
    </row>
    <row r="740" ht="15.75" customHeight="1">
      <c r="D740" s="104"/>
      <c r="F740" s="121"/>
    </row>
    <row r="741" ht="15.75" customHeight="1">
      <c r="D741" s="104"/>
      <c r="F741" s="121"/>
    </row>
    <row r="742" ht="15.75" customHeight="1">
      <c r="D742" s="104"/>
      <c r="F742" s="121"/>
    </row>
    <row r="743" ht="15.75" customHeight="1">
      <c r="D743" s="104"/>
      <c r="F743" s="121"/>
    </row>
    <row r="744" ht="15.75" customHeight="1">
      <c r="D744" s="104"/>
      <c r="F744" s="121"/>
    </row>
    <row r="745" ht="15.75" customHeight="1">
      <c r="D745" s="104"/>
      <c r="F745" s="121"/>
    </row>
    <row r="746" ht="15.75" customHeight="1">
      <c r="D746" s="104"/>
      <c r="F746" s="121"/>
    </row>
    <row r="747" ht="15.75" customHeight="1">
      <c r="D747" s="104"/>
      <c r="F747" s="121"/>
    </row>
    <row r="748" ht="15.75" customHeight="1">
      <c r="D748" s="104"/>
      <c r="F748" s="121"/>
    </row>
    <row r="749" ht="15.75" customHeight="1">
      <c r="D749" s="104"/>
      <c r="F749" s="121"/>
    </row>
    <row r="750" ht="15.75" customHeight="1">
      <c r="D750" s="104"/>
      <c r="F750" s="121"/>
    </row>
    <row r="751" ht="15.75" customHeight="1">
      <c r="D751" s="104"/>
      <c r="F751" s="121"/>
    </row>
    <row r="752" ht="15.75" customHeight="1">
      <c r="D752" s="104"/>
      <c r="F752" s="121"/>
    </row>
    <row r="753" ht="15.75" customHeight="1">
      <c r="D753" s="104"/>
      <c r="F753" s="121"/>
    </row>
    <row r="754" ht="15.75" customHeight="1">
      <c r="D754" s="104"/>
      <c r="F754" s="121"/>
    </row>
    <row r="755" ht="15.75" customHeight="1">
      <c r="D755" s="104"/>
      <c r="F755" s="121"/>
    </row>
    <row r="756" ht="15.75" customHeight="1">
      <c r="D756" s="104"/>
      <c r="F756" s="121"/>
    </row>
    <row r="757" ht="15.75" customHeight="1">
      <c r="D757" s="104"/>
      <c r="F757" s="121"/>
    </row>
    <row r="758" ht="15.75" customHeight="1">
      <c r="D758" s="104"/>
      <c r="F758" s="121"/>
    </row>
    <row r="759" ht="15.75" customHeight="1">
      <c r="D759" s="104"/>
      <c r="F759" s="121"/>
    </row>
    <row r="760" ht="15.75" customHeight="1">
      <c r="D760" s="104"/>
      <c r="F760" s="121"/>
    </row>
    <row r="761" ht="15.75" customHeight="1">
      <c r="D761" s="104"/>
      <c r="F761" s="121"/>
    </row>
    <row r="762" ht="15.75" customHeight="1">
      <c r="D762" s="104"/>
      <c r="F762" s="121"/>
    </row>
    <row r="763" ht="15.75" customHeight="1">
      <c r="D763" s="104"/>
      <c r="F763" s="121"/>
    </row>
    <row r="764" ht="15.75" customHeight="1">
      <c r="D764" s="104"/>
      <c r="F764" s="121"/>
    </row>
    <row r="765" ht="15.75" customHeight="1">
      <c r="D765" s="104"/>
      <c r="F765" s="121"/>
    </row>
    <row r="766" ht="15.75" customHeight="1">
      <c r="D766" s="104"/>
      <c r="F766" s="121"/>
    </row>
    <row r="767" ht="15.75" customHeight="1">
      <c r="D767" s="104"/>
      <c r="F767" s="121"/>
    </row>
    <row r="768" ht="15.75" customHeight="1">
      <c r="D768" s="104"/>
      <c r="F768" s="121"/>
    </row>
    <row r="769" ht="15.75" customHeight="1">
      <c r="D769" s="104"/>
      <c r="F769" s="121"/>
    </row>
    <row r="770" ht="15.75" customHeight="1">
      <c r="D770" s="104"/>
      <c r="F770" s="121"/>
    </row>
    <row r="771" ht="15.75" customHeight="1">
      <c r="D771" s="104"/>
      <c r="F771" s="121"/>
    </row>
    <row r="772" ht="15.75" customHeight="1">
      <c r="D772" s="104"/>
      <c r="F772" s="121"/>
    </row>
    <row r="773" ht="15.75" customHeight="1">
      <c r="D773" s="104"/>
      <c r="F773" s="121"/>
    </row>
    <row r="774" ht="15.75" customHeight="1">
      <c r="D774" s="104"/>
      <c r="F774" s="121"/>
    </row>
    <row r="775" ht="15.75" customHeight="1">
      <c r="D775" s="104"/>
      <c r="F775" s="121"/>
    </row>
    <row r="776" ht="15.75" customHeight="1">
      <c r="D776" s="104"/>
      <c r="F776" s="121"/>
    </row>
    <row r="777" ht="15.75" customHeight="1">
      <c r="D777" s="104"/>
      <c r="F777" s="121"/>
    </row>
    <row r="778" ht="15.75" customHeight="1">
      <c r="D778" s="104"/>
      <c r="F778" s="121"/>
    </row>
    <row r="779" ht="15.75" customHeight="1">
      <c r="D779" s="104"/>
      <c r="F779" s="121"/>
    </row>
    <row r="780" ht="15.75" customHeight="1">
      <c r="D780" s="104"/>
      <c r="F780" s="121"/>
    </row>
    <row r="781" ht="15.75" customHeight="1">
      <c r="D781" s="104"/>
      <c r="F781" s="121"/>
    </row>
    <row r="782" ht="15.75" customHeight="1">
      <c r="D782" s="104"/>
      <c r="F782" s="121"/>
    </row>
    <row r="783" ht="15.75" customHeight="1">
      <c r="D783" s="104"/>
      <c r="F783" s="121"/>
    </row>
    <row r="784" ht="15.75" customHeight="1">
      <c r="D784" s="104"/>
      <c r="F784" s="121"/>
    </row>
    <row r="785" ht="15.75" customHeight="1">
      <c r="D785" s="104"/>
      <c r="F785" s="121"/>
    </row>
    <row r="786" ht="15.75" customHeight="1">
      <c r="D786" s="104"/>
      <c r="F786" s="121"/>
    </row>
    <row r="787" ht="15.75" customHeight="1">
      <c r="D787" s="104"/>
      <c r="F787" s="121"/>
    </row>
    <row r="788" ht="15.75" customHeight="1">
      <c r="D788" s="104"/>
      <c r="F788" s="121"/>
    </row>
    <row r="789" ht="15.75" customHeight="1">
      <c r="D789" s="104"/>
      <c r="F789" s="121"/>
    </row>
    <row r="790" ht="15.75" customHeight="1">
      <c r="D790" s="104"/>
      <c r="F790" s="121"/>
    </row>
    <row r="791" ht="15.75" customHeight="1">
      <c r="D791" s="104"/>
      <c r="F791" s="121"/>
    </row>
    <row r="792" ht="15.75" customHeight="1">
      <c r="D792" s="104"/>
      <c r="F792" s="121"/>
    </row>
    <row r="793" ht="15.75" customHeight="1">
      <c r="D793" s="104"/>
      <c r="F793" s="121"/>
    </row>
    <row r="794" ht="15.75" customHeight="1">
      <c r="D794" s="104"/>
      <c r="F794" s="121"/>
    </row>
    <row r="795" ht="15.75" customHeight="1">
      <c r="D795" s="104"/>
      <c r="F795" s="121"/>
    </row>
    <row r="796" ht="15.75" customHeight="1">
      <c r="D796" s="104"/>
      <c r="F796" s="121"/>
    </row>
    <row r="797" ht="15.75" customHeight="1">
      <c r="D797" s="104"/>
      <c r="F797" s="121"/>
    </row>
    <row r="798" ht="15.75" customHeight="1">
      <c r="D798" s="104"/>
      <c r="F798" s="121"/>
    </row>
    <row r="799" ht="15.75" customHeight="1">
      <c r="D799" s="104"/>
      <c r="F799" s="121"/>
    </row>
    <row r="800" ht="15.75" customHeight="1">
      <c r="D800" s="104"/>
      <c r="F800" s="121"/>
    </row>
    <row r="801" ht="15.75" customHeight="1">
      <c r="D801" s="104"/>
      <c r="F801" s="121"/>
    </row>
    <row r="802" ht="15.75" customHeight="1">
      <c r="D802" s="104"/>
      <c r="F802" s="121"/>
    </row>
    <row r="803" ht="15.75" customHeight="1">
      <c r="D803" s="104"/>
      <c r="F803" s="121"/>
    </row>
    <row r="804" ht="15.75" customHeight="1">
      <c r="D804" s="104"/>
      <c r="F804" s="121"/>
    </row>
    <row r="805" ht="15.75" customHeight="1">
      <c r="D805" s="104"/>
      <c r="F805" s="121"/>
    </row>
    <row r="806" ht="15.75" customHeight="1">
      <c r="D806" s="104"/>
      <c r="F806" s="121"/>
    </row>
    <row r="807" ht="15.75" customHeight="1">
      <c r="D807" s="104"/>
      <c r="F807" s="121"/>
    </row>
    <row r="808" ht="15.75" customHeight="1">
      <c r="D808" s="104"/>
      <c r="F808" s="121"/>
    </row>
    <row r="809" ht="15.75" customHeight="1">
      <c r="D809" s="104"/>
      <c r="F809" s="121"/>
    </row>
    <row r="810" ht="15.75" customHeight="1">
      <c r="D810" s="104"/>
      <c r="F810" s="121"/>
    </row>
    <row r="811" ht="15.75" customHeight="1">
      <c r="D811" s="104"/>
      <c r="F811" s="121"/>
    </row>
    <row r="812" ht="15.75" customHeight="1">
      <c r="D812" s="104"/>
      <c r="F812" s="121"/>
    </row>
    <row r="813" ht="15.75" customHeight="1">
      <c r="D813" s="104"/>
      <c r="F813" s="121"/>
    </row>
    <row r="814" ht="15.75" customHeight="1">
      <c r="D814" s="104"/>
      <c r="F814" s="121"/>
    </row>
    <row r="815" ht="15.75" customHeight="1">
      <c r="D815" s="104"/>
      <c r="F815" s="121"/>
    </row>
    <row r="816" ht="15.75" customHeight="1">
      <c r="D816" s="104"/>
      <c r="F816" s="121"/>
    </row>
    <row r="817" ht="15.75" customHeight="1">
      <c r="D817" s="104"/>
      <c r="F817" s="121"/>
    </row>
    <row r="818" ht="15.75" customHeight="1">
      <c r="D818" s="104"/>
      <c r="F818" s="121"/>
    </row>
    <row r="819" ht="15.75" customHeight="1">
      <c r="D819" s="104"/>
      <c r="F819" s="121"/>
    </row>
    <row r="820" ht="15.75" customHeight="1">
      <c r="D820" s="104"/>
      <c r="F820" s="121"/>
    </row>
    <row r="821" ht="15.75" customHeight="1">
      <c r="D821" s="104"/>
      <c r="F821" s="121"/>
    </row>
    <row r="822" ht="15.75" customHeight="1">
      <c r="D822" s="104"/>
      <c r="F822" s="121"/>
    </row>
    <row r="823" ht="15.75" customHeight="1">
      <c r="D823" s="104"/>
      <c r="F823" s="121"/>
    </row>
    <row r="824" ht="15.75" customHeight="1">
      <c r="D824" s="104"/>
      <c r="F824" s="121"/>
    </row>
    <row r="825" ht="15.75" customHeight="1">
      <c r="D825" s="104"/>
      <c r="F825" s="121"/>
    </row>
    <row r="826" ht="15.75" customHeight="1">
      <c r="D826" s="104"/>
      <c r="F826" s="121"/>
    </row>
    <row r="827" ht="15.75" customHeight="1">
      <c r="D827" s="104"/>
      <c r="F827" s="121"/>
    </row>
    <row r="828" ht="15.75" customHeight="1">
      <c r="D828" s="104"/>
      <c r="F828" s="121"/>
    </row>
    <row r="829" ht="15.75" customHeight="1">
      <c r="D829" s="104"/>
      <c r="F829" s="121"/>
    </row>
    <row r="830" ht="15.75" customHeight="1">
      <c r="D830" s="104"/>
      <c r="F830" s="121"/>
    </row>
    <row r="831" ht="15.75" customHeight="1">
      <c r="D831" s="104"/>
      <c r="F831" s="121"/>
    </row>
    <row r="832" ht="15.75" customHeight="1">
      <c r="D832" s="104"/>
      <c r="F832" s="121"/>
    </row>
    <row r="833" ht="15.75" customHeight="1">
      <c r="D833" s="104"/>
      <c r="F833" s="121"/>
    </row>
    <row r="834" ht="15.75" customHeight="1">
      <c r="D834" s="104"/>
      <c r="F834" s="121"/>
    </row>
    <row r="835" ht="15.75" customHeight="1">
      <c r="D835" s="104"/>
      <c r="F835" s="121"/>
    </row>
    <row r="836" ht="15.75" customHeight="1">
      <c r="D836" s="104"/>
      <c r="F836" s="121"/>
    </row>
    <row r="837" ht="15.75" customHeight="1">
      <c r="D837" s="104"/>
      <c r="F837" s="121"/>
    </row>
    <row r="838" ht="15.75" customHeight="1">
      <c r="D838" s="104"/>
      <c r="F838" s="121"/>
    </row>
    <row r="839" ht="15.75" customHeight="1">
      <c r="D839" s="104"/>
      <c r="F839" s="121"/>
    </row>
    <row r="840" ht="15.75" customHeight="1">
      <c r="D840" s="104"/>
      <c r="F840" s="121"/>
    </row>
    <row r="841" ht="15.75" customHeight="1">
      <c r="D841" s="104"/>
      <c r="F841" s="121"/>
    </row>
    <row r="842" ht="15.75" customHeight="1">
      <c r="D842" s="104"/>
      <c r="F842" s="121"/>
    </row>
    <row r="843" ht="15.75" customHeight="1">
      <c r="D843" s="104"/>
      <c r="F843" s="121"/>
    </row>
    <row r="844" ht="15.75" customHeight="1">
      <c r="D844" s="104"/>
      <c r="F844" s="121"/>
    </row>
    <row r="845" ht="15.75" customHeight="1">
      <c r="D845" s="104"/>
      <c r="F845" s="121"/>
    </row>
    <row r="846" ht="15.75" customHeight="1">
      <c r="D846" s="104"/>
      <c r="F846" s="121"/>
    </row>
    <row r="847" ht="15.75" customHeight="1">
      <c r="D847" s="104"/>
      <c r="F847" s="121"/>
    </row>
    <row r="848" ht="15.75" customHeight="1">
      <c r="D848" s="104"/>
      <c r="F848" s="121"/>
    </row>
    <row r="849" ht="15.75" customHeight="1">
      <c r="D849" s="104"/>
      <c r="F849" s="121"/>
    </row>
    <row r="850" ht="15.75" customHeight="1">
      <c r="D850" s="104"/>
      <c r="F850" s="121"/>
    </row>
    <row r="851" ht="15.75" customHeight="1">
      <c r="D851" s="104"/>
      <c r="F851" s="121"/>
    </row>
    <row r="852" ht="15.75" customHeight="1">
      <c r="D852" s="104"/>
      <c r="F852" s="121"/>
    </row>
    <row r="853" ht="15.75" customHeight="1">
      <c r="D853" s="104"/>
      <c r="F853" s="121"/>
    </row>
    <row r="854" ht="15.75" customHeight="1">
      <c r="D854" s="104"/>
      <c r="F854" s="121"/>
    </row>
    <row r="855" ht="15.75" customHeight="1">
      <c r="D855" s="104"/>
      <c r="F855" s="121"/>
    </row>
    <row r="856" ht="15.75" customHeight="1">
      <c r="D856" s="104"/>
      <c r="F856" s="121"/>
    </row>
    <row r="857" ht="15.75" customHeight="1">
      <c r="D857" s="104"/>
      <c r="F857" s="121"/>
    </row>
    <row r="858" ht="15.75" customHeight="1">
      <c r="D858" s="104"/>
      <c r="F858" s="121"/>
    </row>
    <row r="859" ht="15.75" customHeight="1">
      <c r="D859" s="104"/>
      <c r="F859" s="121"/>
    </row>
    <row r="860" ht="15.75" customHeight="1">
      <c r="D860" s="104"/>
      <c r="F860" s="121"/>
    </row>
    <row r="861" ht="15.75" customHeight="1">
      <c r="D861" s="104"/>
      <c r="F861" s="121"/>
    </row>
    <row r="862" ht="15.75" customHeight="1">
      <c r="D862" s="104"/>
      <c r="F862" s="121"/>
    </row>
    <row r="863" ht="15.75" customHeight="1">
      <c r="D863" s="104"/>
      <c r="F863" s="121"/>
    </row>
    <row r="864" ht="15.75" customHeight="1">
      <c r="D864" s="104"/>
      <c r="F864" s="121"/>
    </row>
    <row r="865" ht="15.75" customHeight="1">
      <c r="D865" s="104"/>
      <c r="F865" s="121"/>
    </row>
    <row r="866" ht="15.75" customHeight="1">
      <c r="D866" s="104"/>
      <c r="F866" s="121"/>
    </row>
    <row r="867" ht="15.75" customHeight="1">
      <c r="D867" s="104"/>
      <c r="F867" s="121"/>
    </row>
    <row r="868" ht="15.75" customHeight="1">
      <c r="D868" s="104"/>
      <c r="F868" s="121"/>
    </row>
    <row r="869" ht="15.75" customHeight="1">
      <c r="D869" s="104"/>
      <c r="F869" s="121"/>
    </row>
    <row r="870" ht="15.75" customHeight="1">
      <c r="D870" s="104"/>
      <c r="F870" s="121"/>
    </row>
    <row r="871" ht="15.75" customHeight="1">
      <c r="D871" s="104"/>
      <c r="F871" s="121"/>
    </row>
    <row r="872" ht="15.75" customHeight="1">
      <c r="D872" s="104"/>
      <c r="F872" s="121"/>
    </row>
    <row r="873" ht="15.75" customHeight="1">
      <c r="D873" s="104"/>
      <c r="F873" s="121"/>
    </row>
    <row r="874" ht="15.75" customHeight="1">
      <c r="D874" s="104"/>
      <c r="F874" s="121"/>
    </row>
    <row r="875" ht="15.75" customHeight="1">
      <c r="D875" s="104"/>
      <c r="F875" s="121"/>
    </row>
    <row r="876" ht="15.75" customHeight="1">
      <c r="D876" s="104"/>
      <c r="F876" s="121"/>
    </row>
    <row r="877" ht="15.75" customHeight="1">
      <c r="D877" s="104"/>
      <c r="F877" s="121"/>
    </row>
    <row r="878" ht="15.75" customHeight="1">
      <c r="D878" s="104"/>
      <c r="F878" s="121"/>
    </row>
    <row r="879" ht="15.75" customHeight="1">
      <c r="D879" s="104"/>
      <c r="F879" s="121"/>
    </row>
    <row r="880" ht="15.75" customHeight="1">
      <c r="D880" s="104"/>
      <c r="F880" s="121"/>
    </row>
    <row r="881" ht="15.75" customHeight="1">
      <c r="D881" s="104"/>
      <c r="F881" s="121"/>
    </row>
    <row r="882" ht="15.75" customHeight="1">
      <c r="D882" s="104"/>
      <c r="F882" s="121"/>
    </row>
    <row r="883" ht="15.75" customHeight="1">
      <c r="D883" s="104"/>
      <c r="F883" s="121"/>
    </row>
    <row r="884" ht="15.75" customHeight="1">
      <c r="D884" s="104"/>
      <c r="F884" s="121"/>
    </row>
    <row r="885" ht="15.75" customHeight="1">
      <c r="D885" s="104"/>
      <c r="F885" s="121"/>
    </row>
    <row r="886" ht="15.75" customHeight="1">
      <c r="D886" s="104"/>
      <c r="F886" s="121"/>
    </row>
    <row r="887" ht="15.75" customHeight="1">
      <c r="D887" s="104"/>
      <c r="F887" s="121"/>
    </row>
    <row r="888" ht="15.75" customHeight="1">
      <c r="D888" s="104"/>
      <c r="F888" s="121"/>
    </row>
    <row r="889" ht="15.75" customHeight="1">
      <c r="D889" s="104"/>
      <c r="F889" s="121"/>
    </row>
    <row r="890" ht="15.75" customHeight="1">
      <c r="D890" s="104"/>
      <c r="F890" s="121"/>
    </row>
    <row r="891" ht="15.75" customHeight="1">
      <c r="D891" s="104"/>
      <c r="F891" s="121"/>
    </row>
    <row r="892" ht="15.75" customHeight="1">
      <c r="D892" s="104"/>
      <c r="F892" s="121"/>
    </row>
    <row r="893" ht="15.75" customHeight="1">
      <c r="D893" s="104"/>
      <c r="F893" s="121"/>
    </row>
    <row r="894" ht="15.75" customHeight="1">
      <c r="D894" s="104"/>
      <c r="F894" s="121"/>
    </row>
    <row r="895" ht="15.75" customHeight="1">
      <c r="D895" s="104"/>
      <c r="F895" s="121"/>
    </row>
    <row r="896" ht="15.75" customHeight="1">
      <c r="D896" s="104"/>
      <c r="F896" s="121"/>
    </row>
    <row r="897" ht="15.75" customHeight="1">
      <c r="D897" s="104"/>
      <c r="F897" s="121"/>
    </row>
    <row r="898" ht="15.75" customHeight="1">
      <c r="D898" s="104"/>
      <c r="F898" s="121"/>
    </row>
    <row r="899" ht="15.75" customHeight="1">
      <c r="D899" s="104"/>
      <c r="F899" s="121"/>
    </row>
    <row r="900" ht="15.75" customHeight="1">
      <c r="D900" s="104"/>
      <c r="F900" s="121"/>
    </row>
    <row r="901" ht="15.75" customHeight="1">
      <c r="D901" s="104"/>
      <c r="F901" s="121"/>
    </row>
    <row r="902" ht="15.75" customHeight="1">
      <c r="D902" s="104"/>
      <c r="F902" s="121"/>
    </row>
    <row r="903" ht="15.75" customHeight="1">
      <c r="D903" s="104"/>
      <c r="F903" s="121"/>
    </row>
    <row r="904" ht="15.75" customHeight="1">
      <c r="D904" s="104"/>
      <c r="F904" s="121"/>
    </row>
    <row r="905" ht="15.75" customHeight="1">
      <c r="D905" s="104"/>
      <c r="F905" s="121"/>
    </row>
    <row r="906" ht="15.75" customHeight="1">
      <c r="D906" s="104"/>
      <c r="F906" s="121"/>
    </row>
    <row r="907" ht="15.75" customHeight="1">
      <c r="D907" s="104"/>
      <c r="F907" s="121"/>
    </row>
    <row r="908" ht="15.75" customHeight="1">
      <c r="D908" s="104"/>
      <c r="F908" s="121"/>
    </row>
    <row r="909" ht="15.75" customHeight="1">
      <c r="D909" s="104"/>
      <c r="F909" s="121"/>
    </row>
    <row r="910" ht="15.75" customHeight="1">
      <c r="D910" s="104"/>
      <c r="F910" s="121"/>
    </row>
    <row r="911" ht="15.75" customHeight="1">
      <c r="D911" s="104"/>
      <c r="F911" s="121"/>
    </row>
    <row r="912" ht="15.75" customHeight="1">
      <c r="D912" s="104"/>
      <c r="F912" s="121"/>
    </row>
    <row r="913" ht="15.75" customHeight="1">
      <c r="D913" s="104"/>
      <c r="F913" s="121"/>
    </row>
    <row r="914" ht="15.75" customHeight="1">
      <c r="D914" s="104"/>
      <c r="F914" s="121"/>
    </row>
    <row r="915" ht="15.75" customHeight="1">
      <c r="D915" s="104"/>
      <c r="F915" s="121"/>
    </row>
    <row r="916" ht="15.75" customHeight="1">
      <c r="D916" s="104"/>
      <c r="F916" s="121"/>
    </row>
    <row r="917" ht="15.75" customHeight="1">
      <c r="D917" s="104"/>
      <c r="F917" s="121"/>
    </row>
    <row r="918" ht="15.75" customHeight="1">
      <c r="D918" s="104"/>
      <c r="F918" s="121"/>
    </row>
    <row r="919" ht="15.75" customHeight="1">
      <c r="D919" s="104"/>
      <c r="F919" s="121"/>
    </row>
    <row r="920" ht="15.75" customHeight="1">
      <c r="D920" s="104"/>
      <c r="F920" s="121"/>
    </row>
    <row r="921" ht="15.75" customHeight="1">
      <c r="D921" s="104"/>
      <c r="F921" s="121"/>
    </row>
    <row r="922" ht="15.75" customHeight="1">
      <c r="D922" s="104"/>
      <c r="F922" s="121"/>
    </row>
    <row r="923" ht="15.75" customHeight="1">
      <c r="D923" s="104"/>
      <c r="F923" s="121"/>
    </row>
    <row r="924" ht="15.75" customHeight="1">
      <c r="D924" s="104"/>
      <c r="F924" s="121"/>
    </row>
    <row r="925" ht="15.75" customHeight="1">
      <c r="D925" s="104"/>
      <c r="F925" s="121"/>
    </row>
    <row r="926" ht="15.75" customHeight="1">
      <c r="D926" s="104"/>
      <c r="F926" s="121"/>
    </row>
    <row r="927" ht="15.75" customHeight="1">
      <c r="D927" s="104"/>
      <c r="F927" s="121"/>
    </row>
    <row r="928" ht="15.75" customHeight="1">
      <c r="D928" s="104"/>
      <c r="F928" s="121"/>
    </row>
    <row r="929" ht="15.75" customHeight="1">
      <c r="D929" s="104"/>
      <c r="F929" s="121"/>
    </row>
    <row r="930" ht="15.75" customHeight="1">
      <c r="D930" s="104"/>
      <c r="F930" s="121"/>
    </row>
    <row r="931" ht="15.75" customHeight="1">
      <c r="D931" s="104"/>
      <c r="F931" s="121"/>
    </row>
    <row r="932" ht="15.75" customHeight="1">
      <c r="D932" s="104"/>
      <c r="F932" s="121"/>
    </row>
    <row r="933" ht="15.75" customHeight="1">
      <c r="D933" s="104"/>
      <c r="F933" s="121"/>
    </row>
    <row r="934" ht="15.75" customHeight="1">
      <c r="D934" s="104"/>
      <c r="F934" s="121"/>
    </row>
    <row r="935" ht="15.75" customHeight="1">
      <c r="D935" s="104"/>
      <c r="F935" s="121"/>
    </row>
    <row r="936" ht="15.75" customHeight="1">
      <c r="D936" s="104"/>
      <c r="F936" s="121"/>
    </row>
    <row r="937" ht="15.75" customHeight="1">
      <c r="D937" s="104"/>
      <c r="F937" s="121"/>
    </row>
    <row r="938" ht="15.75" customHeight="1">
      <c r="D938" s="104"/>
      <c r="F938" s="121"/>
    </row>
    <row r="939" ht="15.75" customHeight="1">
      <c r="D939" s="104"/>
      <c r="F939" s="121"/>
    </row>
    <row r="940" ht="15.75" customHeight="1">
      <c r="D940" s="104"/>
      <c r="F940" s="121"/>
    </row>
    <row r="941" ht="15.75" customHeight="1">
      <c r="D941" s="104"/>
      <c r="F941" s="121"/>
    </row>
    <row r="942" ht="15.75" customHeight="1">
      <c r="D942" s="104"/>
      <c r="F942" s="121"/>
    </row>
    <row r="943" ht="15.75" customHeight="1">
      <c r="D943" s="104"/>
      <c r="F943" s="121"/>
    </row>
    <row r="944" ht="15.75" customHeight="1">
      <c r="D944" s="104"/>
      <c r="F944" s="121"/>
    </row>
    <row r="945" ht="15.75" customHeight="1">
      <c r="D945" s="104"/>
      <c r="F945" s="121"/>
    </row>
    <row r="946" ht="15.75" customHeight="1">
      <c r="D946" s="104"/>
      <c r="F946" s="121"/>
    </row>
    <row r="947" ht="15.75" customHeight="1">
      <c r="D947" s="104"/>
      <c r="F947" s="121"/>
    </row>
    <row r="948" ht="15.75" customHeight="1">
      <c r="D948" s="104"/>
      <c r="F948" s="121"/>
    </row>
    <row r="949" ht="15.75" customHeight="1">
      <c r="D949" s="104"/>
      <c r="F949" s="121"/>
    </row>
    <row r="950" ht="15.75" customHeight="1">
      <c r="D950" s="104"/>
      <c r="F950" s="121"/>
    </row>
    <row r="951" ht="15.75" customHeight="1">
      <c r="D951" s="104"/>
      <c r="F951" s="121"/>
    </row>
    <row r="952" ht="15.75" customHeight="1">
      <c r="D952" s="104"/>
      <c r="F952" s="121"/>
    </row>
    <row r="953" ht="15.75" customHeight="1">
      <c r="D953" s="104"/>
      <c r="F953" s="121"/>
    </row>
    <row r="954" ht="15.75" customHeight="1">
      <c r="D954" s="104"/>
      <c r="F954" s="121"/>
    </row>
    <row r="955" ht="15.75" customHeight="1">
      <c r="D955" s="104"/>
      <c r="F955" s="121"/>
    </row>
    <row r="956" ht="15.75" customHeight="1">
      <c r="D956" s="104"/>
      <c r="F956" s="121"/>
    </row>
    <row r="957" ht="15.75" customHeight="1">
      <c r="D957" s="104"/>
      <c r="F957" s="121"/>
    </row>
    <row r="958" ht="15.75" customHeight="1">
      <c r="D958" s="104"/>
      <c r="F958" s="121"/>
    </row>
    <row r="959" ht="15.75" customHeight="1">
      <c r="D959" s="104"/>
      <c r="F959" s="121"/>
    </row>
    <row r="960" ht="15.75" customHeight="1">
      <c r="D960" s="104"/>
      <c r="F960" s="121"/>
    </row>
    <row r="961" ht="15.75" customHeight="1">
      <c r="D961" s="104"/>
      <c r="F961" s="121"/>
    </row>
    <row r="962" ht="15.75" customHeight="1">
      <c r="D962" s="104"/>
      <c r="F962" s="121"/>
    </row>
    <row r="963" ht="15.75" customHeight="1">
      <c r="D963" s="104"/>
      <c r="F963" s="121"/>
    </row>
    <row r="964" ht="15.75" customHeight="1">
      <c r="D964" s="104"/>
      <c r="F964" s="121"/>
    </row>
    <row r="965" ht="15.75" customHeight="1">
      <c r="D965" s="104"/>
      <c r="F965" s="121"/>
    </row>
    <row r="966" ht="15.75" customHeight="1">
      <c r="D966" s="104"/>
      <c r="F966" s="121"/>
    </row>
    <row r="967" ht="15.75" customHeight="1">
      <c r="D967" s="104"/>
      <c r="F967" s="121"/>
    </row>
    <row r="968" ht="15.75" customHeight="1">
      <c r="D968" s="104"/>
      <c r="F968" s="121"/>
    </row>
    <row r="969" ht="15.75" customHeight="1">
      <c r="D969" s="104"/>
      <c r="F969" s="121"/>
    </row>
    <row r="970" ht="15.75" customHeight="1">
      <c r="D970" s="104"/>
      <c r="F970" s="121"/>
    </row>
    <row r="971" ht="15.75" customHeight="1">
      <c r="D971" s="104"/>
      <c r="F971" s="121"/>
    </row>
    <row r="972" ht="15.75" customHeight="1">
      <c r="D972" s="104"/>
      <c r="F972" s="121"/>
    </row>
    <row r="973" ht="15.75" customHeight="1">
      <c r="D973" s="104"/>
      <c r="F973" s="121"/>
    </row>
    <row r="974" ht="15.75" customHeight="1">
      <c r="D974" s="104"/>
      <c r="F974" s="121"/>
    </row>
    <row r="975" ht="15.75" customHeight="1">
      <c r="D975" s="104"/>
      <c r="F975" s="121"/>
    </row>
    <row r="976" ht="15.75" customHeight="1">
      <c r="D976" s="104"/>
      <c r="F976" s="121"/>
    </row>
    <row r="977" ht="15.75" customHeight="1">
      <c r="D977" s="104"/>
      <c r="F977" s="121"/>
    </row>
    <row r="978" ht="15.75" customHeight="1">
      <c r="D978" s="104"/>
      <c r="F978" s="121"/>
    </row>
    <row r="979" ht="15.75" customHeight="1">
      <c r="D979" s="104"/>
      <c r="F979" s="121"/>
    </row>
    <row r="980" ht="15.75" customHeight="1">
      <c r="D980" s="104"/>
      <c r="F980" s="121"/>
    </row>
    <row r="981" ht="15.75" customHeight="1">
      <c r="D981" s="104"/>
      <c r="F981" s="121"/>
    </row>
    <row r="982" ht="15.75" customHeight="1">
      <c r="D982" s="104"/>
      <c r="F982" s="121"/>
    </row>
    <row r="983" ht="15.75" customHeight="1">
      <c r="D983" s="104"/>
      <c r="F983" s="121"/>
    </row>
    <row r="984" ht="15.75" customHeight="1">
      <c r="D984" s="104"/>
      <c r="F984" s="121"/>
    </row>
    <row r="985" ht="15.75" customHeight="1">
      <c r="D985" s="104"/>
      <c r="F985" s="121"/>
    </row>
    <row r="986" ht="15.75" customHeight="1">
      <c r="D986" s="104"/>
      <c r="F986" s="121"/>
    </row>
    <row r="987" ht="15.75" customHeight="1">
      <c r="D987" s="104"/>
      <c r="F987" s="121"/>
    </row>
    <row r="988" ht="15.75" customHeight="1">
      <c r="D988" s="104"/>
      <c r="F988" s="121"/>
    </row>
    <row r="989" ht="15.75" customHeight="1">
      <c r="D989" s="104"/>
      <c r="F989" s="121"/>
    </row>
    <row r="990" ht="15.75" customHeight="1">
      <c r="D990" s="104"/>
      <c r="F990" s="121"/>
    </row>
    <row r="991" ht="15.75" customHeight="1">
      <c r="D991" s="104"/>
      <c r="F991" s="121"/>
    </row>
    <row r="992" ht="15.75" customHeight="1">
      <c r="D992" s="104"/>
      <c r="F992" s="121"/>
    </row>
    <row r="993" ht="15.75" customHeight="1">
      <c r="D993" s="104"/>
      <c r="F993" s="121"/>
    </row>
    <row r="994" ht="15.75" customHeight="1">
      <c r="D994" s="104"/>
      <c r="F994" s="121"/>
    </row>
    <row r="995" ht="15.75" customHeight="1">
      <c r="D995" s="104"/>
      <c r="F995" s="121"/>
    </row>
    <row r="996" ht="15.75" customHeight="1">
      <c r="D996" s="104"/>
      <c r="F996" s="121"/>
    </row>
    <row r="997" ht="15.75" customHeight="1">
      <c r="D997" s="104"/>
      <c r="F997" s="121"/>
    </row>
    <row r="998" ht="15.75" customHeight="1">
      <c r="D998" s="104"/>
      <c r="F998" s="121"/>
    </row>
    <row r="999" ht="15.75" customHeight="1">
      <c r="D999" s="104"/>
      <c r="F999" s="121"/>
    </row>
    <row r="1000" ht="15.75" customHeight="1">
      <c r="D1000" s="104"/>
      <c r="F1000" s="121"/>
    </row>
  </sheetData>
  <mergeCells count="1">
    <mergeCell ref="A1:F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24" t="s">
        <v>186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23">
        <v>46241.0</v>
      </c>
      <c r="B4" s="31"/>
      <c r="C4" s="33"/>
      <c r="D4" s="131"/>
      <c r="E4" s="40">
        <v>3936.0</v>
      </c>
      <c r="F4" s="114">
        <v>48.0</v>
      </c>
    </row>
    <row r="5">
      <c r="A5" s="115">
        <v>46241.0</v>
      </c>
      <c r="B5" s="53" t="s">
        <v>32</v>
      </c>
      <c r="C5" s="125"/>
      <c r="D5" s="126">
        <v>240.0</v>
      </c>
      <c r="E5" s="58">
        <f t="shared" ref="E5:E51" si="1">E4-D5+C5</f>
        <v>3696</v>
      </c>
      <c r="F5" s="59">
        <f>E5/F4</f>
        <v>77</v>
      </c>
    </row>
    <row r="6">
      <c r="A6" s="115">
        <v>46245.0</v>
      </c>
      <c r="B6" s="127" t="s">
        <v>26</v>
      </c>
      <c r="C6" s="128"/>
      <c r="D6" s="126">
        <v>48.0</v>
      </c>
      <c r="E6" s="58">
        <f t="shared" si="1"/>
        <v>3648</v>
      </c>
      <c r="F6" s="59">
        <f>E6/F4</f>
        <v>76</v>
      </c>
    </row>
    <row r="7">
      <c r="A7" s="115"/>
      <c r="B7" s="53" t="s">
        <v>28</v>
      </c>
      <c r="C7" s="58"/>
      <c r="D7" s="126">
        <v>48.0</v>
      </c>
      <c r="E7" s="58">
        <f t="shared" si="1"/>
        <v>3600</v>
      </c>
      <c r="F7" s="59">
        <f>E7/F4</f>
        <v>75</v>
      </c>
    </row>
    <row r="8">
      <c r="A8" s="115"/>
      <c r="B8" s="132"/>
      <c r="C8" s="58"/>
      <c r="D8" s="133"/>
      <c r="E8" s="58">
        <f t="shared" si="1"/>
        <v>3600</v>
      </c>
      <c r="F8" s="59">
        <f>E8/F4</f>
        <v>75</v>
      </c>
    </row>
    <row r="9">
      <c r="A9" s="115"/>
      <c r="B9" s="132"/>
      <c r="C9" s="58"/>
      <c r="D9" s="133"/>
      <c r="E9" s="58">
        <f t="shared" si="1"/>
        <v>3600</v>
      </c>
      <c r="F9" s="59">
        <f>E9/F4</f>
        <v>75</v>
      </c>
    </row>
    <row r="10">
      <c r="A10" s="115"/>
      <c r="B10" s="132"/>
      <c r="C10" s="58"/>
      <c r="D10" s="133"/>
      <c r="E10" s="58">
        <f t="shared" si="1"/>
        <v>3600</v>
      </c>
      <c r="F10" s="59">
        <f>E10/F4</f>
        <v>75</v>
      </c>
    </row>
    <row r="11">
      <c r="A11" s="115"/>
      <c r="B11" s="132"/>
      <c r="C11" s="58"/>
      <c r="D11" s="133"/>
      <c r="E11" s="58">
        <f t="shared" si="1"/>
        <v>3600</v>
      </c>
      <c r="F11" s="59">
        <f>E11/F4</f>
        <v>75</v>
      </c>
    </row>
    <row r="12">
      <c r="A12" s="115"/>
      <c r="B12" s="132"/>
      <c r="C12" s="58"/>
      <c r="D12" s="133"/>
      <c r="E12" s="58">
        <f t="shared" si="1"/>
        <v>3600</v>
      </c>
      <c r="F12" s="59">
        <f>E12/F4</f>
        <v>75</v>
      </c>
    </row>
    <row r="13">
      <c r="A13" s="115"/>
      <c r="B13" s="132"/>
      <c r="C13" s="58"/>
      <c r="D13" s="133"/>
      <c r="E13" s="58">
        <f t="shared" si="1"/>
        <v>3600</v>
      </c>
      <c r="F13" s="59">
        <f>E13/F4</f>
        <v>75</v>
      </c>
    </row>
    <row r="14">
      <c r="A14" s="115"/>
      <c r="B14" s="132"/>
      <c r="C14" s="58"/>
      <c r="D14" s="133"/>
      <c r="E14" s="58">
        <f t="shared" si="1"/>
        <v>3600</v>
      </c>
      <c r="F14" s="59">
        <f>E14/F4</f>
        <v>75</v>
      </c>
    </row>
    <row r="15">
      <c r="A15" s="115"/>
      <c r="B15" s="90"/>
      <c r="C15" s="69"/>
      <c r="D15" s="133"/>
      <c r="E15" s="58">
        <f t="shared" si="1"/>
        <v>3600</v>
      </c>
      <c r="F15" s="59">
        <f>E15/F4</f>
        <v>75</v>
      </c>
    </row>
    <row r="16">
      <c r="A16" s="115"/>
      <c r="B16" s="90"/>
      <c r="C16" s="69"/>
      <c r="D16" s="133"/>
      <c r="E16" s="58">
        <f t="shared" si="1"/>
        <v>3600</v>
      </c>
      <c r="F16" s="59">
        <f>E16/F4</f>
        <v>75</v>
      </c>
    </row>
    <row r="17">
      <c r="A17" s="115"/>
      <c r="B17" s="90"/>
      <c r="C17" s="69"/>
      <c r="D17" s="133"/>
      <c r="E17" s="58">
        <f t="shared" si="1"/>
        <v>3600</v>
      </c>
      <c r="F17" s="59">
        <f>E17/F4</f>
        <v>75</v>
      </c>
    </row>
    <row r="18">
      <c r="A18" s="115"/>
      <c r="B18" s="90"/>
      <c r="C18" s="69"/>
      <c r="D18" s="133"/>
      <c r="E18" s="58">
        <f t="shared" si="1"/>
        <v>3600</v>
      </c>
      <c r="F18" s="59">
        <f>E18/F4</f>
        <v>75</v>
      </c>
    </row>
    <row r="19">
      <c r="A19" s="115"/>
      <c r="B19" s="90"/>
      <c r="C19" s="69"/>
      <c r="D19" s="133"/>
      <c r="E19" s="58">
        <f t="shared" si="1"/>
        <v>3600</v>
      </c>
      <c r="F19" s="59">
        <f>E19/F4</f>
        <v>75</v>
      </c>
    </row>
    <row r="20">
      <c r="A20" s="115"/>
      <c r="B20" s="90"/>
      <c r="C20" s="69"/>
      <c r="D20" s="135"/>
      <c r="E20" s="58">
        <f t="shared" si="1"/>
        <v>3600</v>
      </c>
      <c r="F20" s="59">
        <f>E20/F4</f>
        <v>75</v>
      </c>
    </row>
    <row r="21" ht="15.75" customHeight="1">
      <c r="A21" s="115"/>
      <c r="B21" s="90"/>
      <c r="C21" s="69"/>
      <c r="D21" s="135"/>
      <c r="E21" s="58">
        <f t="shared" si="1"/>
        <v>3600</v>
      </c>
      <c r="F21" s="59">
        <f>E21/F4</f>
        <v>75</v>
      </c>
    </row>
    <row r="22" ht="15.75" customHeight="1">
      <c r="A22" s="115"/>
      <c r="B22" s="90"/>
      <c r="C22" s="69"/>
      <c r="D22" s="135"/>
      <c r="E22" s="58">
        <f t="shared" si="1"/>
        <v>3600</v>
      </c>
      <c r="F22" s="59">
        <f>E22/F4</f>
        <v>75</v>
      </c>
    </row>
    <row r="23" ht="15.75" customHeight="1">
      <c r="A23" s="115"/>
      <c r="B23" s="90"/>
      <c r="C23" s="69"/>
      <c r="D23" s="135"/>
      <c r="E23" s="58">
        <f t="shared" si="1"/>
        <v>3600</v>
      </c>
      <c r="F23" s="59">
        <f>E23/F4</f>
        <v>75</v>
      </c>
    </row>
    <row r="24" ht="15.75" customHeight="1">
      <c r="A24" s="115"/>
      <c r="B24" s="90"/>
      <c r="C24" s="69"/>
      <c r="D24" s="135"/>
      <c r="E24" s="58">
        <f t="shared" si="1"/>
        <v>3600</v>
      </c>
      <c r="F24" s="59">
        <f>E24/F4</f>
        <v>75</v>
      </c>
    </row>
    <row r="25" ht="15.75" customHeight="1">
      <c r="A25" s="115"/>
      <c r="B25" s="90"/>
      <c r="C25" s="69"/>
      <c r="D25" s="135"/>
      <c r="E25" s="58">
        <f t="shared" si="1"/>
        <v>3600</v>
      </c>
      <c r="F25" s="59">
        <f>E25/F4</f>
        <v>75</v>
      </c>
    </row>
    <row r="26" ht="15.75" customHeight="1">
      <c r="A26" s="115"/>
      <c r="B26" s="90"/>
      <c r="C26" s="69"/>
      <c r="D26" s="135"/>
      <c r="E26" s="58">
        <f t="shared" si="1"/>
        <v>3600</v>
      </c>
      <c r="F26" s="59">
        <f>E26/F4</f>
        <v>75</v>
      </c>
    </row>
    <row r="27" ht="15.75" customHeight="1">
      <c r="A27" s="115"/>
      <c r="B27" s="90"/>
      <c r="C27" s="69"/>
      <c r="D27" s="135"/>
      <c r="E27" s="58">
        <f t="shared" si="1"/>
        <v>3600</v>
      </c>
      <c r="F27" s="59">
        <f>E27/F4</f>
        <v>75</v>
      </c>
    </row>
    <row r="28" ht="15.75" customHeight="1">
      <c r="A28" s="115"/>
      <c r="B28" s="90"/>
      <c r="C28" s="69"/>
      <c r="D28" s="135"/>
      <c r="E28" s="58">
        <f t="shared" si="1"/>
        <v>3600</v>
      </c>
      <c r="F28" s="59">
        <f>E28/F4</f>
        <v>75</v>
      </c>
    </row>
    <row r="29" ht="15.75" customHeight="1">
      <c r="A29" s="115"/>
      <c r="B29" s="90"/>
      <c r="C29" s="69"/>
      <c r="D29" s="135"/>
      <c r="E29" s="58">
        <f t="shared" si="1"/>
        <v>3600</v>
      </c>
      <c r="F29" s="59">
        <f>E29/F4</f>
        <v>75</v>
      </c>
    </row>
    <row r="30" ht="15.75" customHeight="1">
      <c r="A30" s="115"/>
      <c r="B30" s="90"/>
      <c r="C30" s="69"/>
      <c r="D30" s="135"/>
      <c r="E30" s="58">
        <f t="shared" si="1"/>
        <v>3600</v>
      </c>
      <c r="F30" s="59">
        <f>E30/F4</f>
        <v>75</v>
      </c>
    </row>
    <row r="31" ht="15.75" customHeight="1">
      <c r="A31" s="115"/>
      <c r="B31" s="90"/>
      <c r="C31" s="69"/>
      <c r="D31" s="135"/>
      <c r="E31" s="58">
        <f t="shared" si="1"/>
        <v>3600</v>
      </c>
      <c r="F31" s="59">
        <f>E31/F4</f>
        <v>75</v>
      </c>
    </row>
    <row r="32" ht="15.75" customHeight="1">
      <c r="A32" s="115"/>
      <c r="B32" s="90"/>
      <c r="C32" s="69"/>
      <c r="D32" s="135"/>
      <c r="E32" s="58">
        <f t="shared" si="1"/>
        <v>3600</v>
      </c>
      <c r="F32" s="59">
        <f>E32/F4</f>
        <v>75</v>
      </c>
    </row>
    <row r="33" ht="15.75" customHeight="1">
      <c r="A33" s="115"/>
      <c r="B33" s="90"/>
      <c r="C33" s="69"/>
      <c r="D33" s="135"/>
      <c r="E33" s="58">
        <f t="shared" si="1"/>
        <v>3600</v>
      </c>
      <c r="F33" s="59">
        <f>E33/F4</f>
        <v>75</v>
      </c>
    </row>
    <row r="34" ht="15.75" customHeight="1">
      <c r="A34" s="115"/>
      <c r="B34" s="90"/>
      <c r="C34" s="69"/>
      <c r="D34" s="135"/>
      <c r="E34" s="58">
        <f t="shared" si="1"/>
        <v>3600</v>
      </c>
      <c r="F34" s="59">
        <f>E34/F4</f>
        <v>75</v>
      </c>
    </row>
    <row r="35" ht="15.75" customHeight="1">
      <c r="A35" s="115"/>
      <c r="B35" s="90"/>
      <c r="C35" s="69"/>
      <c r="D35" s="135"/>
      <c r="E35" s="58">
        <f t="shared" si="1"/>
        <v>3600</v>
      </c>
      <c r="F35" s="59">
        <f>E35/F4</f>
        <v>75</v>
      </c>
    </row>
    <row r="36" ht="15.75" customHeight="1">
      <c r="A36" s="115"/>
      <c r="B36" s="90"/>
      <c r="C36" s="69"/>
      <c r="D36" s="135"/>
      <c r="E36" s="58">
        <f t="shared" si="1"/>
        <v>3600</v>
      </c>
      <c r="F36" s="59">
        <f>E36/F4</f>
        <v>75</v>
      </c>
    </row>
    <row r="37" ht="15.75" customHeight="1">
      <c r="A37" s="115"/>
      <c r="B37" s="90"/>
      <c r="C37" s="69"/>
      <c r="D37" s="135"/>
      <c r="E37" s="58">
        <f t="shared" si="1"/>
        <v>3600</v>
      </c>
      <c r="F37" s="59">
        <f>E37/F4</f>
        <v>75</v>
      </c>
    </row>
    <row r="38" ht="15.75" customHeight="1">
      <c r="A38" s="115"/>
      <c r="B38" s="90"/>
      <c r="C38" s="69"/>
      <c r="D38" s="135"/>
      <c r="E38" s="58">
        <f t="shared" si="1"/>
        <v>3600</v>
      </c>
      <c r="F38" s="59">
        <f>E38/F4</f>
        <v>75</v>
      </c>
    </row>
    <row r="39" ht="15.75" customHeight="1">
      <c r="A39" s="115"/>
      <c r="B39" s="90"/>
      <c r="C39" s="69"/>
      <c r="D39" s="135"/>
      <c r="E39" s="58">
        <f t="shared" si="1"/>
        <v>3600</v>
      </c>
      <c r="F39" s="59">
        <f>E39/F4</f>
        <v>75</v>
      </c>
    </row>
    <row r="40" ht="15.75" customHeight="1">
      <c r="A40" s="115"/>
      <c r="B40" s="90"/>
      <c r="C40" s="69"/>
      <c r="D40" s="135"/>
      <c r="E40" s="58">
        <f t="shared" si="1"/>
        <v>3600</v>
      </c>
      <c r="F40" s="59">
        <f>E40/F4</f>
        <v>75</v>
      </c>
    </row>
    <row r="41" ht="15.75" customHeight="1">
      <c r="A41" s="115"/>
      <c r="B41" s="90"/>
      <c r="C41" s="69"/>
      <c r="D41" s="135"/>
      <c r="E41" s="58">
        <f t="shared" si="1"/>
        <v>3600</v>
      </c>
      <c r="F41" s="59">
        <f>E41/F4</f>
        <v>75</v>
      </c>
    </row>
    <row r="42" ht="15.75" customHeight="1">
      <c r="A42" s="115"/>
      <c r="B42" s="90"/>
      <c r="C42" s="69"/>
      <c r="D42" s="135"/>
      <c r="E42" s="58">
        <f t="shared" si="1"/>
        <v>3600</v>
      </c>
      <c r="F42" s="59">
        <f>E42/F4</f>
        <v>75</v>
      </c>
    </row>
    <row r="43" ht="15.75" customHeight="1">
      <c r="A43" s="115"/>
      <c r="B43" s="90"/>
      <c r="C43" s="69"/>
      <c r="D43" s="135"/>
      <c r="E43" s="58">
        <f t="shared" si="1"/>
        <v>3600</v>
      </c>
      <c r="F43" s="59">
        <f>E43/F4</f>
        <v>75</v>
      </c>
    </row>
    <row r="44" ht="15.75" customHeight="1">
      <c r="A44" s="115"/>
      <c r="B44" s="90"/>
      <c r="C44" s="69"/>
      <c r="D44" s="135"/>
      <c r="E44" s="58">
        <f t="shared" si="1"/>
        <v>3600</v>
      </c>
      <c r="F44" s="59">
        <f>E44/F4</f>
        <v>75</v>
      </c>
    </row>
    <row r="45" ht="15.75" customHeight="1">
      <c r="A45" s="115"/>
      <c r="B45" s="90"/>
      <c r="C45" s="69"/>
      <c r="D45" s="135"/>
      <c r="E45" s="58">
        <f t="shared" si="1"/>
        <v>3600</v>
      </c>
      <c r="F45" s="59">
        <f>E45/F4</f>
        <v>75</v>
      </c>
    </row>
    <row r="46" ht="15.75" customHeight="1">
      <c r="A46" s="115"/>
      <c r="B46" s="90"/>
      <c r="C46" s="69"/>
      <c r="D46" s="135"/>
      <c r="E46" s="58">
        <f t="shared" si="1"/>
        <v>3600</v>
      </c>
      <c r="F46" s="59">
        <f>E46/F4</f>
        <v>75</v>
      </c>
    </row>
    <row r="47" ht="15.75" customHeight="1">
      <c r="A47" s="115"/>
      <c r="B47" s="90"/>
      <c r="C47" s="69"/>
      <c r="D47" s="135"/>
      <c r="E47" s="58">
        <f t="shared" si="1"/>
        <v>3600</v>
      </c>
      <c r="F47" s="59">
        <f>E47/F4</f>
        <v>75</v>
      </c>
    </row>
    <row r="48" ht="15.75" customHeight="1">
      <c r="A48" s="115"/>
      <c r="B48" s="90"/>
      <c r="C48" s="69"/>
      <c r="D48" s="135"/>
      <c r="E48" s="58">
        <f t="shared" si="1"/>
        <v>3600</v>
      </c>
      <c r="F48" s="59">
        <f>E48/F4</f>
        <v>75</v>
      </c>
    </row>
    <row r="49" ht="15.75" customHeight="1">
      <c r="A49" s="115"/>
      <c r="B49" s="90"/>
      <c r="C49" s="69"/>
      <c r="D49" s="135"/>
      <c r="E49" s="58">
        <f t="shared" si="1"/>
        <v>3600</v>
      </c>
      <c r="F49" s="59">
        <f>E49/F4</f>
        <v>75</v>
      </c>
    </row>
    <row r="50" ht="15.75" customHeight="1">
      <c r="A50" s="115"/>
      <c r="B50" s="90"/>
      <c r="C50" s="69"/>
      <c r="D50" s="135"/>
      <c r="E50" s="58">
        <f t="shared" si="1"/>
        <v>3600</v>
      </c>
      <c r="F50" s="59">
        <f>E50/F4</f>
        <v>75</v>
      </c>
    </row>
    <row r="51" ht="15.75" customHeight="1">
      <c r="A51" s="90"/>
      <c r="B51" s="90"/>
      <c r="C51" s="69"/>
      <c r="D51" s="135"/>
      <c r="E51" s="58">
        <f t="shared" si="1"/>
        <v>3600</v>
      </c>
      <c r="F51" s="59">
        <f>E51/F4</f>
        <v>75</v>
      </c>
    </row>
    <row r="52" ht="15.75" customHeight="1">
      <c r="A52" s="120"/>
      <c r="B52" s="120"/>
      <c r="D52" s="104"/>
      <c r="F52" s="121"/>
    </row>
    <row r="53" ht="15.75" customHeight="1">
      <c r="A53" s="120"/>
      <c r="B53" s="120"/>
      <c r="D53" s="104"/>
      <c r="F53" s="121"/>
    </row>
    <row r="54" ht="15.75" customHeight="1">
      <c r="A54" s="120"/>
      <c r="B54" s="120"/>
      <c r="D54" s="104"/>
      <c r="F54" s="121"/>
    </row>
    <row r="55" ht="15.75" customHeight="1">
      <c r="A55" s="120"/>
      <c r="B55" s="120"/>
      <c r="D55" s="104"/>
      <c r="F55" s="121"/>
    </row>
    <row r="56" ht="15.75" customHeight="1">
      <c r="A56" s="120"/>
      <c r="B56" s="120"/>
      <c r="D56" s="104"/>
      <c r="F56" s="121"/>
    </row>
    <row r="57" ht="15.75" customHeight="1">
      <c r="A57" s="120"/>
      <c r="B57" s="120"/>
      <c r="D57" s="104"/>
      <c r="F57" s="121"/>
    </row>
    <row r="58" ht="15.75" customHeight="1">
      <c r="A58" s="120"/>
      <c r="B58" s="120"/>
      <c r="D58" s="104"/>
      <c r="F58" s="121"/>
    </row>
    <row r="59" ht="15.75" customHeight="1">
      <c r="A59" s="120"/>
      <c r="B59" s="120"/>
      <c r="D59" s="104"/>
      <c r="F59" s="121"/>
    </row>
    <row r="60" ht="15.75" customHeight="1">
      <c r="A60" s="120"/>
      <c r="B60" s="120"/>
      <c r="D60" s="104"/>
      <c r="F60" s="121"/>
    </row>
    <row r="61" ht="15.75" customHeight="1">
      <c r="A61" s="120"/>
      <c r="B61" s="120"/>
      <c r="D61" s="104"/>
      <c r="F61" s="121"/>
    </row>
    <row r="62" ht="15.75" customHeight="1">
      <c r="A62" s="120"/>
      <c r="B62" s="120"/>
      <c r="D62" s="104"/>
      <c r="F62" s="121"/>
    </row>
    <row r="63" ht="15.75" customHeight="1">
      <c r="A63" s="120"/>
      <c r="B63" s="120"/>
      <c r="D63" s="104"/>
      <c r="F63" s="121"/>
    </row>
    <row r="64" ht="15.75" customHeight="1">
      <c r="A64" s="120"/>
      <c r="B64" s="120"/>
      <c r="D64" s="104"/>
      <c r="F64" s="121"/>
    </row>
    <row r="65" ht="15.75" customHeight="1">
      <c r="A65" s="120"/>
      <c r="B65" s="120"/>
      <c r="D65" s="104"/>
      <c r="F65" s="121"/>
    </row>
    <row r="66" ht="15.75" customHeight="1">
      <c r="A66" s="120"/>
      <c r="B66" s="120"/>
      <c r="D66" s="104"/>
      <c r="F66" s="121"/>
    </row>
    <row r="67" ht="15.75" customHeight="1">
      <c r="A67" s="120"/>
      <c r="B67" s="120"/>
      <c r="D67" s="104"/>
      <c r="F67" s="121"/>
    </row>
    <row r="68" ht="15.75" customHeight="1">
      <c r="A68" s="120"/>
      <c r="B68" s="120"/>
      <c r="D68" s="104"/>
      <c r="F68" s="121"/>
    </row>
    <row r="69" ht="15.75" customHeight="1">
      <c r="A69" s="120"/>
      <c r="B69" s="120"/>
      <c r="D69" s="104"/>
      <c r="F69" s="121"/>
    </row>
    <row r="70" ht="15.75" customHeight="1">
      <c r="A70" s="120"/>
      <c r="B70" s="120"/>
      <c r="D70" s="104"/>
      <c r="F70" s="121"/>
    </row>
    <row r="71" ht="15.75" customHeight="1">
      <c r="A71" s="120"/>
      <c r="B71" s="120"/>
      <c r="D71" s="104"/>
      <c r="F71" s="121"/>
    </row>
    <row r="72" ht="15.75" customHeight="1">
      <c r="A72" s="120"/>
      <c r="B72" s="120"/>
      <c r="D72" s="104"/>
      <c r="F72" s="121"/>
    </row>
    <row r="73" ht="15.75" customHeight="1">
      <c r="A73" s="120"/>
      <c r="B73" s="120"/>
      <c r="D73" s="104"/>
      <c r="F73" s="121"/>
    </row>
    <row r="74" ht="15.75" customHeight="1">
      <c r="A74" s="120"/>
      <c r="B74" s="120"/>
      <c r="D74" s="104"/>
      <c r="F74" s="121"/>
    </row>
    <row r="75" ht="15.75" customHeight="1">
      <c r="A75" s="120"/>
      <c r="B75" s="120"/>
      <c r="D75" s="104"/>
      <c r="F75" s="121"/>
    </row>
    <row r="76" ht="15.75" customHeight="1">
      <c r="A76" s="120"/>
      <c r="B76" s="120"/>
      <c r="D76" s="104"/>
      <c r="F76" s="121"/>
    </row>
    <row r="77" ht="15.75" customHeight="1">
      <c r="A77" s="120"/>
      <c r="B77" s="120"/>
      <c r="D77" s="104"/>
      <c r="F77" s="121"/>
    </row>
    <row r="78" ht="15.75" customHeight="1">
      <c r="A78" s="120"/>
      <c r="B78" s="120"/>
      <c r="D78" s="104"/>
      <c r="F78" s="121"/>
    </row>
    <row r="79" ht="15.75" customHeight="1">
      <c r="A79" s="120"/>
      <c r="B79" s="120"/>
      <c r="D79" s="104"/>
      <c r="F79" s="121"/>
    </row>
    <row r="80" ht="15.75" customHeight="1">
      <c r="A80" s="120"/>
      <c r="B80" s="120"/>
      <c r="D80" s="104"/>
      <c r="F80" s="121"/>
    </row>
    <row r="81" ht="15.75" customHeight="1">
      <c r="A81" s="120"/>
      <c r="B81" s="120"/>
      <c r="D81" s="104"/>
      <c r="F81" s="121"/>
    </row>
    <row r="82" ht="15.75" customHeight="1">
      <c r="D82" s="104"/>
      <c r="F82" s="121"/>
    </row>
    <row r="83" ht="15.75" customHeight="1">
      <c r="D83" s="104"/>
      <c r="F83" s="121"/>
    </row>
    <row r="84" ht="15.75" customHeight="1">
      <c r="D84" s="104"/>
      <c r="F84" s="121"/>
    </row>
    <row r="85" ht="15.75" customHeight="1">
      <c r="D85" s="104"/>
      <c r="F85" s="121"/>
    </row>
    <row r="86" ht="15.75" customHeight="1">
      <c r="D86" s="104"/>
      <c r="F86" s="121"/>
    </row>
    <row r="87" ht="15.75" customHeight="1">
      <c r="D87" s="104"/>
      <c r="F87" s="121"/>
    </row>
    <row r="88" ht="15.75" customHeight="1">
      <c r="D88" s="104"/>
      <c r="F88" s="121"/>
    </row>
    <row r="89" ht="15.75" customHeight="1">
      <c r="D89" s="104"/>
      <c r="F89" s="121"/>
    </row>
    <row r="90" ht="15.75" customHeight="1">
      <c r="D90" s="104"/>
      <c r="F90" s="121"/>
    </row>
    <row r="91" ht="15.75" customHeight="1">
      <c r="D91" s="104"/>
      <c r="F91" s="121"/>
    </row>
    <row r="92" ht="15.75" customHeight="1">
      <c r="D92" s="104"/>
      <c r="F92" s="121"/>
    </row>
    <row r="93" ht="15.75" customHeight="1">
      <c r="D93" s="104"/>
      <c r="F93" s="121"/>
    </row>
    <row r="94" ht="15.75" customHeight="1">
      <c r="D94" s="104"/>
      <c r="F94" s="121"/>
    </row>
    <row r="95" ht="15.75" customHeight="1">
      <c r="D95" s="104"/>
      <c r="F95" s="121"/>
    </row>
    <row r="96" ht="15.75" customHeight="1">
      <c r="D96" s="104"/>
      <c r="F96" s="121"/>
    </row>
    <row r="97" ht="15.75" customHeight="1">
      <c r="D97" s="104"/>
      <c r="F97" s="121"/>
    </row>
    <row r="98" ht="15.75" customHeight="1">
      <c r="D98" s="104"/>
      <c r="F98" s="121"/>
    </row>
    <row r="99" ht="15.75" customHeight="1">
      <c r="D99" s="104"/>
      <c r="F99" s="121"/>
    </row>
    <row r="100" ht="15.75" customHeight="1">
      <c r="D100" s="104"/>
      <c r="F100" s="121"/>
    </row>
    <row r="101" ht="15.75" customHeight="1">
      <c r="D101" s="104"/>
      <c r="F101" s="121"/>
    </row>
    <row r="102" ht="15.75" customHeight="1">
      <c r="D102" s="104"/>
      <c r="F102" s="121"/>
    </row>
    <row r="103" ht="15.75" customHeight="1">
      <c r="D103" s="104"/>
      <c r="F103" s="121"/>
    </row>
    <row r="104" ht="15.75" customHeight="1">
      <c r="D104" s="104"/>
      <c r="F104" s="121"/>
    </row>
    <row r="105" ht="15.75" customHeight="1">
      <c r="D105" s="104"/>
      <c r="F105" s="121"/>
    </row>
    <row r="106" ht="15.75" customHeight="1">
      <c r="D106" s="104"/>
      <c r="F106" s="121"/>
    </row>
    <row r="107" ht="15.75" customHeight="1">
      <c r="D107" s="104"/>
      <c r="F107" s="121"/>
    </row>
    <row r="108" ht="15.75" customHeight="1">
      <c r="D108" s="104"/>
      <c r="F108" s="121"/>
    </row>
    <row r="109" ht="15.75" customHeight="1">
      <c r="D109" s="104"/>
      <c r="F109" s="121"/>
    </row>
    <row r="110" ht="15.75" customHeight="1">
      <c r="D110" s="104"/>
      <c r="F110" s="121"/>
    </row>
    <row r="111" ht="15.75" customHeight="1">
      <c r="D111" s="104"/>
      <c r="F111" s="121"/>
    </row>
    <row r="112" ht="15.75" customHeight="1">
      <c r="D112" s="104"/>
      <c r="F112" s="121"/>
    </row>
    <row r="113" ht="15.75" customHeight="1">
      <c r="D113" s="104"/>
      <c r="F113" s="121"/>
    </row>
    <row r="114" ht="15.75" customHeight="1">
      <c r="D114" s="104"/>
      <c r="F114" s="121"/>
    </row>
    <row r="115" ht="15.75" customHeight="1">
      <c r="D115" s="104"/>
      <c r="F115" s="121"/>
    </row>
    <row r="116" ht="15.75" customHeight="1">
      <c r="D116" s="104"/>
      <c r="F116" s="121"/>
    </row>
    <row r="117" ht="15.75" customHeight="1">
      <c r="D117" s="104"/>
      <c r="F117" s="121"/>
    </row>
    <row r="118" ht="15.75" customHeight="1">
      <c r="D118" s="104"/>
      <c r="F118" s="121"/>
    </row>
    <row r="119" ht="15.75" customHeight="1">
      <c r="D119" s="104"/>
      <c r="F119" s="121"/>
    </row>
    <row r="120" ht="15.75" customHeight="1">
      <c r="D120" s="104"/>
      <c r="F120" s="121"/>
    </row>
    <row r="121" ht="15.75" customHeight="1">
      <c r="D121" s="104"/>
      <c r="F121" s="121"/>
    </row>
    <row r="122" ht="15.75" customHeight="1">
      <c r="D122" s="104"/>
      <c r="F122" s="121"/>
    </row>
    <row r="123" ht="15.75" customHeight="1">
      <c r="D123" s="104"/>
      <c r="F123" s="121"/>
    </row>
    <row r="124" ht="15.75" customHeight="1">
      <c r="D124" s="104"/>
      <c r="F124" s="121"/>
    </row>
    <row r="125" ht="15.75" customHeight="1">
      <c r="D125" s="104"/>
      <c r="F125" s="121"/>
    </row>
    <row r="126" ht="15.75" customHeight="1">
      <c r="D126" s="104"/>
      <c r="F126" s="121"/>
    </row>
    <row r="127" ht="15.75" customHeight="1">
      <c r="D127" s="104"/>
      <c r="F127" s="121"/>
    </row>
    <row r="128" ht="15.75" customHeight="1">
      <c r="D128" s="104"/>
      <c r="F128" s="121"/>
    </row>
    <row r="129" ht="15.75" customHeight="1">
      <c r="D129" s="104"/>
      <c r="F129" s="121"/>
    </row>
    <row r="130" ht="15.75" customHeight="1">
      <c r="D130" s="104"/>
      <c r="F130" s="121"/>
    </row>
    <row r="131" ht="15.75" customHeight="1">
      <c r="D131" s="104"/>
      <c r="F131" s="121"/>
    </row>
    <row r="132" ht="15.75" customHeight="1">
      <c r="D132" s="104"/>
      <c r="F132" s="121"/>
    </row>
    <row r="133" ht="15.75" customHeight="1">
      <c r="D133" s="104"/>
      <c r="F133" s="121"/>
    </row>
    <row r="134" ht="15.75" customHeight="1">
      <c r="D134" s="104"/>
      <c r="F134" s="121"/>
    </row>
    <row r="135" ht="15.75" customHeight="1">
      <c r="D135" s="104"/>
      <c r="F135" s="121"/>
    </row>
    <row r="136" ht="15.75" customHeight="1">
      <c r="D136" s="104"/>
      <c r="F136" s="121"/>
    </row>
    <row r="137" ht="15.75" customHeight="1">
      <c r="D137" s="104"/>
      <c r="F137" s="121"/>
    </row>
    <row r="138" ht="15.75" customHeight="1">
      <c r="D138" s="104"/>
      <c r="F138" s="121"/>
    </row>
    <row r="139" ht="15.75" customHeight="1">
      <c r="D139" s="104"/>
      <c r="F139" s="121"/>
    </row>
    <row r="140" ht="15.75" customHeight="1">
      <c r="D140" s="104"/>
      <c r="F140" s="121"/>
    </row>
    <row r="141" ht="15.75" customHeight="1">
      <c r="D141" s="104"/>
      <c r="F141" s="121"/>
    </row>
    <row r="142" ht="15.75" customHeight="1">
      <c r="D142" s="104"/>
      <c r="F142" s="121"/>
    </row>
    <row r="143" ht="15.75" customHeight="1">
      <c r="D143" s="104"/>
      <c r="F143" s="121"/>
    </row>
    <row r="144" ht="15.75" customHeight="1">
      <c r="D144" s="104"/>
      <c r="F144" s="121"/>
    </row>
    <row r="145" ht="15.75" customHeight="1">
      <c r="D145" s="104"/>
      <c r="F145" s="121"/>
    </row>
    <row r="146" ht="15.75" customHeight="1">
      <c r="D146" s="104"/>
      <c r="F146" s="121"/>
    </row>
    <row r="147" ht="15.75" customHeight="1">
      <c r="D147" s="104"/>
      <c r="F147" s="121"/>
    </row>
    <row r="148" ht="15.75" customHeight="1">
      <c r="D148" s="104"/>
      <c r="F148" s="121"/>
    </row>
    <row r="149" ht="15.75" customHeight="1">
      <c r="D149" s="104"/>
      <c r="F149" s="121"/>
    </row>
    <row r="150" ht="15.75" customHeight="1">
      <c r="D150" s="104"/>
      <c r="F150" s="121"/>
    </row>
    <row r="151" ht="15.75" customHeight="1">
      <c r="D151" s="104"/>
      <c r="F151" s="121"/>
    </row>
    <row r="152" ht="15.75" customHeight="1">
      <c r="D152" s="104"/>
      <c r="F152" s="121"/>
    </row>
    <row r="153" ht="15.75" customHeight="1">
      <c r="D153" s="104"/>
      <c r="F153" s="121"/>
    </row>
    <row r="154" ht="15.75" customHeight="1">
      <c r="D154" s="104"/>
      <c r="F154" s="121"/>
    </row>
    <row r="155" ht="15.75" customHeight="1">
      <c r="D155" s="104"/>
      <c r="F155" s="121"/>
    </row>
    <row r="156" ht="15.75" customHeight="1">
      <c r="D156" s="104"/>
      <c r="F156" s="121"/>
    </row>
    <row r="157" ht="15.75" customHeight="1">
      <c r="D157" s="104"/>
      <c r="F157" s="121"/>
    </row>
    <row r="158" ht="15.75" customHeight="1">
      <c r="D158" s="104"/>
      <c r="F158" s="121"/>
    </row>
    <row r="159" ht="15.75" customHeight="1">
      <c r="D159" s="104"/>
      <c r="F159" s="121"/>
    </row>
    <row r="160" ht="15.75" customHeight="1">
      <c r="D160" s="104"/>
      <c r="F160" s="121"/>
    </row>
    <row r="161" ht="15.75" customHeight="1">
      <c r="D161" s="104"/>
      <c r="F161" s="121"/>
    </row>
    <row r="162" ht="15.75" customHeight="1">
      <c r="D162" s="104"/>
      <c r="F162" s="121"/>
    </row>
    <row r="163" ht="15.75" customHeight="1">
      <c r="D163" s="104"/>
      <c r="F163" s="121"/>
    </row>
    <row r="164" ht="15.75" customHeight="1">
      <c r="D164" s="104"/>
      <c r="F164" s="121"/>
    </row>
    <row r="165" ht="15.75" customHeight="1">
      <c r="D165" s="104"/>
      <c r="F165" s="121"/>
    </row>
    <row r="166" ht="15.75" customHeight="1">
      <c r="D166" s="104"/>
      <c r="F166" s="121"/>
    </row>
    <row r="167" ht="15.75" customHeight="1">
      <c r="D167" s="104"/>
      <c r="F167" s="121"/>
    </row>
    <row r="168" ht="15.75" customHeight="1">
      <c r="D168" s="104"/>
      <c r="F168" s="121"/>
    </row>
    <row r="169" ht="15.75" customHeight="1">
      <c r="D169" s="104"/>
      <c r="F169" s="121"/>
    </row>
    <row r="170" ht="15.75" customHeight="1">
      <c r="D170" s="104"/>
      <c r="F170" s="121"/>
    </row>
    <row r="171" ht="15.75" customHeight="1">
      <c r="D171" s="104"/>
      <c r="F171" s="121"/>
    </row>
    <row r="172" ht="15.75" customHeight="1">
      <c r="D172" s="104"/>
      <c r="F172" s="121"/>
    </row>
    <row r="173" ht="15.75" customHeight="1">
      <c r="D173" s="104"/>
      <c r="F173" s="121"/>
    </row>
    <row r="174" ht="15.75" customHeight="1">
      <c r="D174" s="104"/>
      <c r="F174" s="121"/>
    </row>
    <row r="175" ht="15.75" customHeight="1">
      <c r="D175" s="104"/>
      <c r="F175" s="121"/>
    </row>
    <row r="176" ht="15.75" customHeight="1">
      <c r="D176" s="104"/>
      <c r="F176" s="121"/>
    </row>
    <row r="177" ht="15.75" customHeight="1">
      <c r="D177" s="104"/>
      <c r="F177" s="121"/>
    </row>
    <row r="178" ht="15.75" customHeight="1">
      <c r="D178" s="104"/>
      <c r="F178" s="121"/>
    </row>
    <row r="179" ht="15.75" customHeight="1">
      <c r="D179" s="104"/>
      <c r="F179" s="121"/>
    </row>
    <row r="180" ht="15.75" customHeight="1">
      <c r="D180" s="104"/>
      <c r="F180" s="121"/>
    </row>
    <row r="181" ht="15.75" customHeight="1">
      <c r="D181" s="104"/>
      <c r="F181" s="121"/>
    </row>
    <row r="182" ht="15.75" customHeight="1">
      <c r="D182" s="104"/>
      <c r="F182" s="121"/>
    </row>
    <row r="183" ht="15.75" customHeight="1">
      <c r="D183" s="104"/>
      <c r="F183" s="121"/>
    </row>
    <row r="184" ht="15.75" customHeight="1">
      <c r="D184" s="104"/>
      <c r="F184" s="121"/>
    </row>
    <row r="185" ht="15.75" customHeight="1">
      <c r="D185" s="104"/>
      <c r="F185" s="121"/>
    </row>
    <row r="186" ht="15.75" customHeight="1">
      <c r="D186" s="104"/>
      <c r="F186" s="121"/>
    </row>
    <row r="187" ht="15.75" customHeight="1">
      <c r="D187" s="104"/>
      <c r="F187" s="121"/>
    </row>
    <row r="188" ht="15.75" customHeight="1">
      <c r="D188" s="104"/>
      <c r="F188" s="121"/>
    </row>
    <row r="189" ht="15.75" customHeight="1">
      <c r="D189" s="104"/>
      <c r="F189" s="121"/>
    </row>
    <row r="190" ht="15.75" customHeight="1">
      <c r="D190" s="104"/>
      <c r="F190" s="121"/>
    </row>
    <row r="191" ht="15.75" customHeight="1">
      <c r="D191" s="104"/>
      <c r="F191" s="121"/>
    </row>
    <row r="192" ht="15.75" customHeight="1">
      <c r="D192" s="104"/>
      <c r="F192" s="121"/>
    </row>
    <row r="193" ht="15.75" customHeight="1">
      <c r="D193" s="104"/>
      <c r="F193" s="121"/>
    </row>
    <row r="194" ht="15.75" customHeight="1">
      <c r="D194" s="104"/>
      <c r="F194" s="121"/>
    </row>
    <row r="195" ht="15.75" customHeight="1">
      <c r="D195" s="104"/>
      <c r="F195" s="121"/>
    </row>
    <row r="196" ht="15.75" customHeight="1">
      <c r="D196" s="104"/>
      <c r="F196" s="121"/>
    </row>
    <row r="197" ht="15.75" customHeight="1">
      <c r="D197" s="104"/>
      <c r="F197" s="121"/>
    </row>
    <row r="198" ht="15.75" customHeight="1">
      <c r="D198" s="104"/>
      <c r="F198" s="121"/>
    </row>
    <row r="199" ht="15.75" customHeight="1">
      <c r="D199" s="104"/>
      <c r="F199" s="121"/>
    </row>
    <row r="200" ht="15.75" customHeight="1">
      <c r="D200" s="104"/>
      <c r="F200" s="121"/>
    </row>
    <row r="201" ht="15.75" customHeight="1">
      <c r="D201" s="104"/>
      <c r="F201" s="121"/>
    </row>
    <row r="202" ht="15.75" customHeight="1">
      <c r="D202" s="104"/>
      <c r="F202" s="121"/>
    </row>
    <row r="203" ht="15.75" customHeight="1">
      <c r="D203" s="104"/>
      <c r="F203" s="121"/>
    </row>
    <row r="204" ht="15.75" customHeight="1">
      <c r="D204" s="104"/>
      <c r="F204" s="121"/>
    </row>
    <row r="205" ht="15.75" customHeight="1">
      <c r="D205" s="104"/>
      <c r="F205" s="121"/>
    </row>
    <row r="206" ht="15.75" customHeight="1">
      <c r="D206" s="104"/>
      <c r="F206" s="121"/>
    </row>
    <row r="207" ht="15.75" customHeight="1">
      <c r="D207" s="104"/>
      <c r="F207" s="121"/>
    </row>
    <row r="208" ht="15.75" customHeight="1">
      <c r="D208" s="104"/>
      <c r="F208" s="121"/>
    </row>
    <row r="209" ht="15.75" customHeight="1">
      <c r="D209" s="104"/>
      <c r="F209" s="121"/>
    </row>
    <row r="210" ht="15.75" customHeight="1">
      <c r="D210" s="104"/>
      <c r="F210" s="121"/>
    </row>
    <row r="211" ht="15.75" customHeight="1">
      <c r="D211" s="104"/>
      <c r="F211" s="121"/>
    </row>
    <row r="212" ht="15.75" customHeight="1">
      <c r="D212" s="104"/>
      <c r="F212" s="121"/>
    </row>
    <row r="213" ht="15.75" customHeight="1">
      <c r="D213" s="104"/>
      <c r="F213" s="121"/>
    </row>
    <row r="214" ht="15.75" customHeight="1">
      <c r="D214" s="104"/>
      <c r="F214" s="121"/>
    </row>
    <row r="215" ht="15.75" customHeight="1">
      <c r="D215" s="104"/>
      <c r="F215" s="121"/>
    </row>
    <row r="216" ht="15.75" customHeight="1">
      <c r="D216" s="104"/>
      <c r="F216" s="121"/>
    </row>
    <row r="217" ht="15.75" customHeight="1">
      <c r="D217" s="104"/>
      <c r="F217" s="121"/>
    </row>
    <row r="218" ht="15.75" customHeight="1">
      <c r="D218" s="104"/>
      <c r="F218" s="121"/>
    </row>
    <row r="219" ht="15.75" customHeight="1">
      <c r="D219" s="104"/>
      <c r="F219" s="121"/>
    </row>
    <row r="220" ht="15.75" customHeight="1">
      <c r="D220" s="104"/>
      <c r="F220" s="121"/>
    </row>
    <row r="221" ht="15.75" customHeight="1">
      <c r="D221" s="104"/>
      <c r="F221" s="121"/>
    </row>
    <row r="222" ht="15.75" customHeight="1">
      <c r="D222" s="104"/>
      <c r="F222" s="121"/>
    </row>
    <row r="223" ht="15.75" customHeight="1">
      <c r="D223" s="104"/>
      <c r="F223" s="121"/>
    </row>
    <row r="224" ht="15.75" customHeight="1">
      <c r="D224" s="104"/>
      <c r="F224" s="121"/>
    </row>
    <row r="225" ht="15.75" customHeight="1">
      <c r="D225" s="104"/>
      <c r="F225" s="121"/>
    </row>
    <row r="226" ht="15.75" customHeight="1">
      <c r="D226" s="104"/>
      <c r="F226" s="121"/>
    </row>
    <row r="227" ht="15.75" customHeight="1">
      <c r="D227" s="104"/>
      <c r="F227" s="121"/>
    </row>
    <row r="228" ht="15.75" customHeight="1">
      <c r="D228" s="104"/>
      <c r="F228" s="121"/>
    </row>
    <row r="229" ht="15.75" customHeight="1">
      <c r="D229" s="104"/>
      <c r="F229" s="121"/>
    </row>
    <row r="230" ht="15.75" customHeight="1">
      <c r="D230" s="104"/>
      <c r="F230" s="121"/>
    </row>
    <row r="231" ht="15.75" customHeight="1">
      <c r="D231" s="104"/>
      <c r="F231" s="121"/>
    </row>
    <row r="232" ht="15.75" customHeight="1">
      <c r="D232" s="104"/>
      <c r="F232" s="121"/>
    </row>
    <row r="233" ht="15.75" customHeight="1">
      <c r="D233" s="104"/>
      <c r="F233" s="121"/>
    </row>
    <row r="234" ht="15.75" customHeight="1">
      <c r="D234" s="104"/>
      <c r="F234" s="121"/>
    </row>
    <row r="235" ht="15.75" customHeight="1">
      <c r="D235" s="104"/>
      <c r="F235" s="121"/>
    </row>
    <row r="236" ht="15.75" customHeight="1">
      <c r="D236" s="104"/>
      <c r="F236" s="121"/>
    </row>
    <row r="237" ht="15.75" customHeight="1">
      <c r="D237" s="104"/>
      <c r="F237" s="121"/>
    </row>
    <row r="238" ht="15.75" customHeight="1">
      <c r="D238" s="104"/>
      <c r="F238" s="121"/>
    </row>
    <row r="239" ht="15.75" customHeight="1">
      <c r="D239" s="104"/>
      <c r="F239" s="121"/>
    </row>
    <row r="240" ht="15.75" customHeight="1">
      <c r="D240" s="104"/>
      <c r="F240" s="121"/>
    </row>
    <row r="241" ht="15.75" customHeight="1">
      <c r="D241" s="104"/>
      <c r="F241" s="121"/>
    </row>
    <row r="242" ht="15.75" customHeight="1">
      <c r="D242" s="104"/>
      <c r="F242" s="121"/>
    </row>
    <row r="243" ht="15.75" customHeight="1">
      <c r="D243" s="104"/>
      <c r="F243" s="121"/>
    </row>
    <row r="244" ht="15.75" customHeight="1">
      <c r="D244" s="104"/>
      <c r="F244" s="121"/>
    </row>
    <row r="245" ht="15.75" customHeight="1">
      <c r="D245" s="104"/>
      <c r="F245" s="121"/>
    </row>
    <row r="246" ht="15.75" customHeight="1">
      <c r="D246" s="104"/>
      <c r="F246" s="121"/>
    </row>
    <row r="247" ht="15.75" customHeight="1">
      <c r="D247" s="104"/>
      <c r="F247" s="121"/>
    </row>
    <row r="248" ht="15.75" customHeight="1">
      <c r="D248" s="104"/>
      <c r="F248" s="121"/>
    </row>
    <row r="249" ht="15.75" customHeight="1">
      <c r="D249" s="104"/>
      <c r="F249" s="121"/>
    </row>
    <row r="250" ht="15.75" customHeight="1">
      <c r="D250" s="104"/>
      <c r="F250" s="121"/>
    </row>
    <row r="251" ht="15.75" customHeight="1">
      <c r="D251" s="104"/>
      <c r="F251" s="121"/>
    </row>
    <row r="252" ht="15.75" customHeight="1">
      <c r="D252" s="104"/>
      <c r="F252" s="121"/>
    </row>
    <row r="253" ht="15.75" customHeight="1">
      <c r="D253" s="104"/>
      <c r="F253" s="121"/>
    </row>
    <row r="254" ht="15.75" customHeight="1">
      <c r="D254" s="104"/>
      <c r="F254" s="121"/>
    </row>
    <row r="255" ht="15.75" customHeight="1">
      <c r="D255" s="104"/>
      <c r="F255" s="121"/>
    </row>
    <row r="256" ht="15.75" customHeight="1">
      <c r="D256" s="104"/>
      <c r="F256" s="121"/>
    </row>
    <row r="257" ht="15.75" customHeight="1">
      <c r="D257" s="104"/>
      <c r="F257" s="121"/>
    </row>
    <row r="258" ht="15.75" customHeight="1">
      <c r="D258" s="104"/>
      <c r="F258" s="121"/>
    </row>
    <row r="259" ht="15.75" customHeight="1">
      <c r="D259" s="104"/>
      <c r="F259" s="121"/>
    </row>
    <row r="260" ht="15.75" customHeight="1">
      <c r="D260" s="104"/>
      <c r="F260" s="121"/>
    </row>
    <row r="261" ht="15.75" customHeight="1">
      <c r="D261" s="104"/>
      <c r="F261" s="121"/>
    </row>
    <row r="262" ht="15.75" customHeight="1">
      <c r="D262" s="104"/>
      <c r="F262" s="121"/>
    </row>
    <row r="263" ht="15.75" customHeight="1">
      <c r="D263" s="104"/>
      <c r="F263" s="121"/>
    </row>
    <row r="264" ht="15.75" customHeight="1">
      <c r="D264" s="104"/>
      <c r="F264" s="121"/>
    </row>
    <row r="265" ht="15.75" customHeight="1">
      <c r="D265" s="104"/>
      <c r="F265" s="121"/>
    </row>
    <row r="266" ht="15.75" customHeight="1">
      <c r="D266" s="104"/>
      <c r="F266" s="121"/>
    </row>
    <row r="267" ht="15.75" customHeight="1">
      <c r="D267" s="104"/>
      <c r="F267" s="121"/>
    </row>
    <row r="268" ht="15.75" customHeight="1">
      <c r="D268" s="104"/>
      <c r="F268" s="121"/>
    </row>
    <row r="269" ht="15.75" customHeight="1">
      <c r="D269" s="104"/>
      <c r="F269" s="121"/>
    </row>
    <row r="270" ht="15.75" customHeight="1">
      <c r="D270" s="104"/>
      <c r="F270" s="121"/>
    </row>
    <row r="271" ht="15.75" customHeight="1">
      <c r="D271" s="104"/>
      <c r="F271" s="121"/>
    </row>
    <row r="272" ht="15.75" customHeight="1">
      <c r="D272" s="104"/>
      <c r="F272" s="121"/>
    </row>
    <row r="273" ht="15.75" customHeight="1">
      <c r="D273" s="104"/>
      <c r="F273" s="121"/>
    </row>
    <row r="274" ht="15.75" customHeight="1">
      <c r="D274" s="104"/>
      <c r="F274" s="121"/>
    </row>
    <row r="275" ht="15.75" customHeight="1">
      <c r="D275" s="104"/>
      <c r="F275" s="121"/>
    </row>
    <row r="276" ht="15.75" customHeight="1">
      <c r="D276" s="104"/>
      <c r="F276" s="121"/>
    </row>
    <row r="277" ht="15.75" customHeight="1">
      <c r="D277" s="104"/>
      <c r="F277" s="121"/>
    </row>
    <row r="278" ht="15.75" customHeight="1">
      <c r="D278" s="104"/>
      <c r="F278" s="121"/>
    </row>
    <row r="279" ht="15.75" customHeight="1">
      <c r="D279" s="104"/>
      <c r="F279" s="121"/>
    </row>
    <row r="280" ht="15.75" customHeight="1">
      <c r="D280" s="104"/>
      <c r="F280" s="121"/>
    </row>
    <row r="281" ht="15.75" customHeight="1">
      <c r="D281" s="104"/>
      <c r="F281" s="121"/>
    </row>
    <row r="282" ht="15.75" customHeight="1">
      <c r="D282" s="104"/>
      <c r="F282" s="121"/>
    </row>
    <row r="283" ht="15.75" customHeight="1">
      <c r="D283" s="104"/>
      <c r="F283" s="121"/>
    </row>
    <row r="284" ht="15.75" customHeight="1">
      <c r="D284" s="104"/>
      <c r="F284" s="121"/>
    </row>
    <row r="285" ht="15.75" customHeight="1">
      <c r="D285" s="104"/>
      <c r="F285" s="121"/>
    </row>
    <row r="286" ht="15.75" customHeight="1">
      <c r="D286" s="104"/>
      <c r="F286" s="121"/>
    </row>
    <row r="287" ht="15.75" customHeight="1">
      <c r="D287" s="104"/>
      <c r="F287" s="121"/>
    </row>
    <row r="288" ht="15.75" customHeight="1">
      <c r="D288" s="104"/>
      <c r="F288" s="121"/>
    </row>
    <row r="289" ht="15.75" customHeight="1">
      <c r="D289" s="104"/>
      <c r="F289" s="121"/>
    </row>
    <row r="290" ht="15.75" customHeight="1">
      <c r="D290" s="104"/>
      <c r="F290" s="121"/>
    </row>
    <row r="291" ht="15.75" customHeight="1">
      <c r="D291" s="104"/>
      <c r="F291" s="121"/>
    </row>
    <row r="292" ht="15.75" customHeight="1">
      <c r="D292" s="104"/>
      <c r="F292" s="121"/>
    </row>
    <row r="293" ht="15.75" customHeight="1">
      <c r="D293" s="104"/>
      <c r="F293" s="121"/>
    </row>
    <row r="294" ht="15.75" customHeight="1">
      <c r="D294" s="104"/>
      <c r="F294" s="121"/>
    </row>
    <row r="295" ht="15.75" customHeight="1">
      <c r="D295" s="104"/>
      <c r="F295" s="121"/>
    </row>
    <row r="296" ht="15.75" customHeight="1">
      <c r="D296" s="104"/>
      <c r="F296" s="121"/>
    </row>
    <row r="297" ht="15.75" customHeight="1">
      <c r="D297" s="104"/>
      <c r="F297" s="121"/>
    </row>
    <row r="298" ht="15.75" customHeight="1">
      <c r="D298" s="104"/>
      <c r="F298" s="121"/>
    </row>
    <row r="299" ht="15.75" customHeight="1">
      <c r="D299" s="104"/>
      <c r="F299" s="121"/>
    </row>
    <row r="300" ht="15.75" customHeight="1">
      <c r="D300" s="104"/>
      <c r="F300" s="121"/>
    </row>
    <row r="301" ht="15.75" customHeight="1">
      <c r="D301" s="104"/>
      <c r="F301" s="121"/>
    </row>
    <row r="302" ht="15.75" customHeight="1">
      <c r="D302" s="104"/>
      <c r="F302" s="121"/>
    </row>
    <row r="303" ht="15.75" customHeight="1">
      <c r="D303" s="104"/>
      <c r="F303" s="121"/>
    </row>
    <row r="304" ht="15.75" customHeight="1">
      <c r="D304" s="104"/>
      <c r="F304" s="121"/>
    </row>
    <row r="305" ht="15.75" customHeight="1">
      <c r="D305" s="104"/>
      <c r="F305" s="121"/>
    </row>
    <row r="306" ht="15.75" customHeight="1">
      <c r="D306" s="104"/>
      <c r="F306" s="121"/>
    </row>
    <row r="307" ht="15.75" customHeight="1">
      <c r="D307" s="104"/>
      <c r="F307" s="121"/>
    </row>
    <row r="308" ht="15.75" customHeight="1">
      <c r="D308" s="104"/>
      <c r="F308" s="121"/>
    </row>
    <row r="309" ht="15.75" customHeight="1">
      <c r="D309" s="104"/>
      <c r="F309" s="121"/>
    </row>
    <row r="310" ht="15.75" customHeight="1">
      <c r="D310" s="104"/>
      <c r="F310" s="121"/>
    </row>
    <row r="311" ht="15.75" customHeight="1">
      <c r="D311" s="104"/>
      <c r="F311" s="121"/>
    </row>
    <row r="312" ht="15.75" customHeight="1">
      <c r="D312" s="104"/>
      <c r="F312" s="121"/>
    </row>
    <row r="313" ht="15.75" customHeight="1">
      <c r="D313" s="104"/>
      <c r="F313" s="121"/>
    </row>
    <row r="314" ht="15.75" customHeight="1">
      <c r="D314" s="104"/>
      <c r="F314" s="121"/>
    </row>
    <row r="315" ht="15.75" customHeight="1">
      <c r="D315" s="104"/>
      <c r="F315" s="121"/>
    </row>
    <row r="316" ht="15.75" customHeight="1">
      <c r="D316" s="104"/>
      <c r="F316" s="121"/>
    </row>
    <row r="317" ht="15.75" customHeight="1">
      <c r="D317" s="104"/>
      <c r="F317" s="121"/>
    </row>
    <row r="318" ht="15.75" customHeight="1">
      <c r="D318" s="104"/>
      <c r="F318" s="121"/>
    </row>
    <row r="319" ht="15.75" customHeight="1">
      <c r="D319" s="104"/>
      <c r="F319" s="121"/>
    </row>
    <row r="320" ht="15.75" customHeight="1">
      <c r="D320" s="104"/>
      <c r="F320" s="121"/>
    </row>
    <row r="321" ht="15.75" customHeight="1">
      <c r="D321" s="104"/>
      <c r="F321" s="121"/>
    </row>
    <row r="322" ht="15.75" customHeight="1">
      <c r="D322" s="104"/>
      <c r="F322" s="121"/>
    </row>
    <row r="323" ht="15.75" customHeight="1">
      <c r="D323" s="104"/>
      <c r="F323" s="121"/>
    </row>
    <row r="324" ht="15.75" customHeight="1">
      <c r="D324" s="104"/>
      <c r="F324" s="121"/>
    </row>
    <row r="325" ht="15.75" customHeight="1">
      <c r="D325" s="104"/>
      <c r="F325" s="121"/>
    </row>
    <row r="326" ht="15.75" customHeight="1">
      <c r="D326" s="104"/>
      <c r="F326" s="121"/>
    </row>
    <row r="327" ht="15.75" customHeight="1">
      <c r="D327" s="104"/>
      <c r="F327" s="121"/>
    </row>
    <row r="328" ht="15.75" customHeight="1">
      <c r="D328" s="104"/>
      <c r="F328" s="121"/>
    </row>
    <row r="329" ht="15.75" customHeight="1">
      <c r="D329" s="104"/>
      <c r="F329" s="121"/>
    </row>
    <row r="330" ht="15.75" customHeight="1">
      <c r="D330" s="104"/>
      <c r="F330" s="121"/>
    </row>
    <row r="331" ht="15.75" customHeight="1">
      <c r="D331" s="104"/>
      <c r="F331" s="121"/>
    </row>
    <row r="332" ht="15.75" customHeight="1">
      <c r="D332" s="104"/>
      <c r="F332" s="121"/>
    </row>
    <row r="333" ht="15.75" customHeight="1">
      <c r="D333" s="104"/>
      <c r="F333" s="121"/>
    </row>
    <row r="334" ht="15.75" customHeight="1">
      <c r="D334" s="104"/>
      <c r="F334" s="121"/>
    </row>
    <row r="335" ht="15.75" customHeight="1">
      <c r="D335" s="104"/>
      <c r="F335" s="121"/>
    </row>
    <row r="336" ht="15.75" customHeight="1">
      <c r="D336" s="104"/>
      <c r="F336" s="121"/>
    </row>
    <row r="337" ht="15.75" customHeight="1">
      <c r="D337" s="104"/>
      <c r="F337" s="121"/>
    </row>
    <row r="338" ht="15.75" customHeight="1">
      <c r="D338" s="104"/>
      <c r="F338" s="121"/>
    </row>
    <row r="339" ht="15.75" customHeight="1">
      <c r="D339" s="104"/>
      <c r="F339" s="121"/>
    </row>
    <row r="340" ht="15.75" customHeight="1">
      <c r="D340" s="104"/>
      <c r="F340" s="121"/>
    </row>
    <row r="341" ht="15.75" customHeight="1">
      <c r="D341" s="104"/>
      <c r="F341" s="121"/>
    </row>
    <row r="342" ht="15.75" customHeight="1">
      <c r="D342" s="104"/>
      <c r="F342" s="121"/>
    </row>
    <row r="343" ht="15.75" customHeight="1">
      <c r="D343" s="104"/>
      <c r="F343" s="121"/>
    </row>
    <row r="344" ht="15.75" customHeight="1">
      <c r="D344" s="104"/>
      <c r="F344" s="121"/>
    </row>
    <row r="345" ht="15.75" customHeight="1">
      <c r="D345" s="104"/>
      <c r="F345" s="121"/>
    </row>
    <row r="346" ht="15.75" customHeight="1">
      <c r="D346" s="104"/>
      <c r="F346" s="121"/>
    </row>
    <row r="347" ht="15.75" customHeight="1">
      <c r="D347" s="104"/>
      <c r="F347" s="121"/>
    </row>
    <row r="348" ht="15.75" customHeight="1">
      <c r="D348" s="104"/>
      <c r="F348" s="121"/>
    </row>
    <row r="349" ht="15.75" customHeight="1">
      <c r="D349" s="104"/>
      <c r="F349" s="121"/>
    </row>
    <row r="350" ht="15.75" customHeight="1">
      <c r="D350" s="104"/>
      <c r="F350" s="121"/>
    </row>
    <row r="351" ht="15.75" customHeight="1">
      <c r="D351" s="104"/>
      <c r="F351" s="121"/>
    </row>
    <row r="352" ht="15.75" customHeight="1">
      <c r="D352" s="104"/>
      <c r="F352" s="121"/>
    </row>
    <row r="353" ht="15.75" customHeight="1">
      <c r="D353" s="104"/>
      <c r="F353" s="121"/>
    </row>
    <row r="354" ht="15.75" customHeight="1">
      <c r="D354" s="104"/>
      <c r="F354" s="121"/>
    </row>
    <row r="355" ht="15.75" customHeight="1">
      <c r="D355" s="104"/>
      <c r="F355" s="121"/>
    </row>
    <row r="356" ht="15.75" customHeight="1">
      <c r="D356" s="104"/>
      <c r="F356" s="121"/>
    </row>
    <row r="357" ht="15.75" customHeight="1">
      <c r="D357" s="104"/>
      <c r="F357" s="121"/>
    </row>
    <row r="358" ht="15.75" customHeight="1">
      <c r="D358" s="104"/>
      <c r="F358" s="121"/>
    </row>
    <row r="359" ht="15.75" customHeight="1">
      <c r="D359" s="104"/>
      <c r="F359" s="121"/>
    </row>
    <row r="360" ht="15.75" customHeight="1">
      <c r="D360" s="104"/>
      <c r="F360" s="121"/>
    </row>
    <row r="361" ht="15.75" customHeight="1">
      <c r="D361" s="104"/>
      <c r="F361" s="121"/>
    </row>
    <row r="362" ht="15.75" customHeight="1">
      <c r="D362" s="104"/>
      <c r="F362" s="121"/>
    </row>
    <row r="363" ht="15.75" customHeight="1">
      <c r="D363" s="104"/>
      <c r="F363" s="121"/>
    </row>
    <row r="364" ht="15.75" customHeight="1">
      <c r="D364" s="104"/>
      <c r="F364" s="121"/>
    </row>
    <row r="365" ht="15.75" customHeight="1">
      <c r="D365" s="104"/>
      <c r="F365" s="121"/>
    </row>
    <row r="366" ht="15.75" customHeight="1">
      <c r="D366" s="104"/>
      <c r="F366" s="121"/>
    </row>
    <row r="367" ht="15.75" customHeight="1">
      <c r="D367" s="104"/>
      <c r="F367" s="121"/>
    </row>
    <row r="368" ht="15.75" customHeight="1">
      <c r="D368" s="104"/>
      <c r="F368" s="121"/>
    </row>
    <row r="369" ht="15.75" customHeight="1">
      <c r="D369" s="104"/>
      <c r="F369" s="121"/>
    </row>
    <row r="370" ht="15.75" customHeight="1">
      <c r="D370" s="104"/>
      <c r="F370" s="121"/>
    </row>
    <row r="371" ht="15.75" customHeight="1">
      <c r="D371" s="104"/>
      <c r="F371" s="121"/>
    </row>
    <row r="372" ht="15.75" customHeight="1">
      <c r="D372" s="104"/>
      <c r="F372" s="121"/>
    </row>
    <row r="373" ht="15.75" customHeight="1">
      <c r="D373" s="104"/>
      <c r="F373" s="121"/>
    </row>
    <row r="374" ht="15.75" customHeight="1">
      <c r="D374" s="104"/>
      <c r="F374" s="121"/>
    </row>
    <row r="375" ht="15.75" customHeight="1">
      <c r="D375" s="104"/>
      <c r="F375" s="121"/>
    </row>
    <row r="376" ht="15.75" customHeight="1">
      <c r="D376" s="104"/>
      <c r="F376" s="121"/>
    </row>
    <row r="377" ht="15.75" customHeight="1">
      <c r="D377" s="104"/>
      <c r="F377" s="121"/>
    </row>
    <row r="378" ht="15.75" customHeight="1">
      <c r="D378" s="104"/>
      <c r="F378" s="121"/>
    </row>
    <row r="379" ht="15.75" customHeight="1">
      <c r="D379" s="104"/>
      <c r="F379" s="121"/>
    </row>
    <row r="380" ht="15.75" customHeight="1">
      <c r="D380" s="104"/>
      <c r="F380" s="121"/>
    </row>
    <row r="381" ht="15.75" customHeight="1">
      <c r="D381" s="104"/>
      <c r="F381" s="121"/>
    </row>
    <row r="382" ht="15.75" customHeight="1">
      <c r="D382" s="104"/>
      <c r="F382" s="121"/>
    </row>
    <row r="383" ht="15.75" customHeight="1">
      <c r="D383" s="104"/>
      <c r="F383" s="121"/>
    </row>
    <row r="384" ht="15.75" customHeight="1">
      <c r="D384" s="104"/>
      <c r="F384" s="121"/>
    </row>
    <row r="385" ht="15.75" customHeight="1">
      <c r="D385" s="104"/>
      <c r="F385" s="121"/>
    </row>
    <row r="386" ht="15.75" customHeight="1">
      <c r="D386" s="104"/>
      <c r="F386" s="121"/>
    </row>
    <row r="387" ht="15.75" customHeight="1">
      <c r="D387" s="104"/>
      <c r="F387" s="121"/>
    </row>
    <row r="388" ht="15.75" customHeight="1">
      <c r="D388" s="104"/>
      <c r="F388" s="121"/>
    </row>
    <row r="389" ht="15.75" customHeight="1">
      <c r="D389" s="104"/>
      <c r="F389" s="121"/>
    </row>
    <row r="390" ht="15.75" customHeight="1">
      <c r="D390" s="104"/>
      <c r="F390" s="121"/>
    </row>
    <row r="391" ht="15.75" customHeight="1">
      <c r="D391" s="104"/>
      <c r="F391" s="121"/>
    </row>
    <row r="392" ht="15.75" customHeight="1">
      <c r="D392" s="104"/>
      <c r="F392" s="121"/>
    </row>
    <row r="393" ht="15.75" customHeight="1">
      <c r="D393" s="104"/>
      <c r="F393" s="121"/>
    </row>
    <row r="394" ht="15.75" customHeight="1">
      <c r="D394" s="104"/>
      <c r="F394" s="121"/>
    </row>
    <row r="395" ht="15.75" customHeight="1">
      <c r="D395" s="104"/>
      <c r="F395" s="121"/>
    </row>
    <row r="396" ht="15.75" customHeight="1">
      <c r="D396" s="104"/>
      <c r="F396" s="121"/>
    </row>
    <row r="397" ht="15.75" customHeight="1">
      <c r="D397" s="104"/>
      <c r="F397" s="121"/>
    </row>
    <row r="398" ht="15.75" customHeight="1">
      <c r="D398" s="104"/>
      <c r="F398" s="121"/>
    </row>
    <row r="399" ht="15.75" customHeight="1">
      <c r="D399" s="104"/>
      <c r="F399" s="121"/>
    </row>
    <row r="400" ht="15.75" customHeight="1">
      <c r="D400" s="104"/>
      <c r="F400" s="121"/>
    </row>
    <row r="401" ht="15.75" customHeight="1">
      <c r="D401" s="104"/>
      <c r="F401" s="121"/>
    </row>
    <row r="402" ht="15.75" customHeight="1">
      <c r="D402" s="104"/>
      <c r="F402" s="121"/>
    </row>
    <row r="403" ht="15.75" customHeight="1">
      <c r="D403" s="104"/>
      <c r="F403" s="121"/>
    </row>
    <row r="404" ht="15.75" customHeight="1">
      <c r="D404" s="104"/>
      <c r="F404" s="121"/>
    </row>
    <row r="405" ht="15.75" customHeight="1">
      <c r="D405" s="104"/>
      <c r="F405" s="121"/>
    </row>
    <row r="406" ht="15.75" customHeight="1">
      <c r="D406" s="104"/>
      <c r="F406" s="121"/>
    </row>
    <row r="407" ht="15.75" customHeight="1">
      <c r="D407" s="104"/>
      <c r="F407" s="121"/>
    </row>
    <row r="408" ht="15.75" customHeight="1">
      <c r="D408" s="104"/>
      <c r="F408" s="121"/>
    </row>
    <row r="409" ht="15.75" customHeight="1">
      <c r="D409" s="104"/>
      <c r="F409" s="121"/>
    </row>
    <row r="410" ht="15.75" customHeight="1">
      <c r="D410" s="104"/>
      <c r="F410" s="121"/>
    </row>
    <row r="411" ht="15.75" customHeight="1">
      <c r="D411" s="104"/>
      <c r="F411" s="121"/>
    </row>
    <row r="412" ht="15.75" customHeight="1">
      <c r="D412" s="104"/>
      <c r="F412" s="121"/>
    </row>
    <row r="413" ht="15.75" customHeight="1">
      <c r="D413" s="104"/>
      <c r="F413" s="121"/>
    </row>
    <row r="414" ht="15.75" customHeight="1">
      <c r="D414" s="104"/>
      <c r="F414" s="121"/>
    </row>
    <row r="415" ht="15.75" customHeight="1">
      <c r="D415" s="104"/>
      <c r="F415" s="121"/>
    </row>
    <row r="416" ht="15.75" customHeight="1">
      <c r="D416" s="104"/>
      <c r="F416" s="121"/>
    </row>
    <row r="417" ht="15.75" customHeight="1">
      <c r="D417" s="104"/>
      <c r="F417" s="121"/>
    </row>
    <row r="418" ht="15.75" customHeight="1">
      <c r="D418" s="104"/>
      <c r="F418" s="121"/>
    </row>
    <row r="419" ht="15.75" customHeight="1">
      <c r="D419" s="104"/>
      <c r="F419" s="121"/>
    </row>
    <row r="420" ht="15.75" customHeight="1">
      <c r="D420" s="104"/>
      <c r="F420" s="121"/>
    </row>
    <row r="421" ht="15.75" customHeight="1">
      <c r="D421" s="104"/>
      <c r="F421" s="121"/>
    </row>
    <row r="422" ht="15.75" customHeight="1">
      <c r="D422" s="104"/>
      <c r="F422" s="121"/>
    </row>
    <row r="423" ht="15.75" customHeight="1">
      <c r="D423" s="104"/>
      <c r="F423" s="121"/>
    </row>
    <row r="424" ht="15.75" customHeight="1">
      <c r="D424" s="104"/>
      <c r="F424" s="121"/>
    </row>
    <row r="425" ht="15.75" customHeight="1">
      <c r="D425" s="104"/>
      <c r="F425" s="121"/>
    </row>
    <row r="426" ht="15.75" customHeight="1">
      <c r="D426" s="104"/>
      <c r="F426" s="121"/>
    </row>
    <row r="427" ht="15.75" customHeight="1">
      <c r="D427" s="104"/>
      <c r="F427" s="121"/>
    </row>
    <row r="428" ht="15.75" customHeight="1">
      <c r="D428" s="104"/>
      <c r="F428" s="121"/>
    </row>
    <row r="429" ht="15.75" customHeight="1">
      <c r="D429" s="104"/>
      <c r="F429" s="121"/>
    </row>
    <row r="430" ht="15.75" customHeight="1">
      <c r="D430" s="104"/>
      <c r="F430" s="121"/>
    </row>
    <row r="431" ht="15.75" customHeight="1">
      <c r="D431" s="104"/>
      <c r="F431" s="121"/>
    </row>
    <row r="432" ht="15.75" customHeight="1">
      <c r="D432" s="104"/>
      <c r="F432" s="121"/>
    </row>
    <row r="433" ht="15.75" customHeight="1">
      <c r="D433" s="104"/>
      <c r="F433" s="121"/>
    </row>
    <row r="434" ht="15.75" customHeight="1">
      <c r="D434" s="104"/>
      <c r="F434" s="121"/>
    </row>
    <row r="435" ht="15.75" customHeight="1">
      <c r="D435" s="104"/>
      <c r="F435" s="121"/>
    </row>
    <row r="436" ht="15.75" customHeight="1">
      <c r="D436" s="104"/>
      <c r="F436" s="121"/>
    </row>
    <row r="437" ht="15.75" customHeight="1">
      <c r="D437" s="104"/>
      <c r="F437" s="121"/>
    </row>
    <row r="438" ht="15.75" customHeight="1">
      <c r="D438" s="104"/>
      <c r="F438" s="121"/>
    </row>
    <row r="439" ht="15.75" customHeight="1">
      <c r="D439" s="104"/>
      <c r="F439" s="121"/>
    </row>
    <row r="440" ht="15.75" customHeight="1">
      <c r="D440" s="104"/>
      <c r="F440" s="121"/>
    </row>
    <row r="441" ht="15.75" customHeight="1">
      <c r="D441" s="104"/>
      <c r="F441" s="121"/>
    </row>
    <row r="442" ht="15.75" customHeight="1">
      <c r="D442" s="104"/>
      <c r="F442" s="121"/>
    </row>
    <row r="443" ht="15.75" customHeight="1">
      <c r="D443" s="104"/>
      <c r="F443" s="121"/>
    </row>
    <row r="444" ht="15.75" customHeight="1">
      <c r="D444" s="104"/>
      <c r="F444" s="121"/>
    </row>
    <row r="445" ht="15.75" customHeight="1">
      <c r="D445" s="104"/>
      <c r="F445" s="121"/>
    </row>
    <row r="446" ht="15.75" customHeight="1">
      <c r="D446" s="104"/>
      <c r="F446" s="121"/>
    </row>
    <row r="447" ht="15.75" customHeight="1">
      <c r="D447" s="104"/>
      <c r="F447" s="121"/>
    </row>
    <row r="448" ht="15.75" customHeight="1">
      <c r="D448" s="104"/>
      <c r="F448" s="121"/>
    </row>
    <row r="449" ht="15.75" customHeight="1">
      <c r="D449" s="104"/>
      <c r="F449" s="121"/>
    </row>
    <row r="450" ht="15.75" customHeight="1">
      <c r="D450" s="104"/>
      <c r="F450" s="121"/>
    </row>
    <row r="451" ht="15.75" customHeight="1">
      <c r="D451" s="104"/>
      <c r="F451" s="121"/>
    </row>
    <row r="452" ht="15.75" customHeight="1">
      <c r="D452" s="104"/>
      <c r="F452" s="121"/>
    </row>
    <row r="453" ht="15.75" customHeight="1">
      <c r="D453" s="104"/>
      <c r="F453" s="121"/>
    </row>
    <row r="454" ht="15.75" customHeight="1">
      <c r="D454" s="104"/>
      <c r="F454" s="121"/>
    </row>
    <row r="455" ht="15.75" customHeight="1">
      <c r="D455" s="104"/>
      <c r="F455" s="121"/>
    </row>
    <row r="456" ht="15.75" customHeight="1">
      <c r="D456" s="104"/>
      <c r="F456" s="121"/>
    </row>
    <row r="457" ht="15.75" customHeight="1">
      <c r="D457" s="104"/>
      <c r="F457" s="121"/>
    </row>
    <row r="458" ht="15.75" customHeight="1">
      <c r="D458" s="104"/>
      <c r="F458" s="121"/>
    </row>
    <row r="459" ht="15.75" customHeight="1">
      <c r="D459" s="104"/>
      <c r="F459" s="121"/>
    </row>
    <row r="460" ht="15.75" customHeight="1">
      <c r="D460" s="104"/>
      <c r="F460" s="121"/>
    </row>
    <row r="461" ht="15.75" customHeight="1">
      <c r="D461" s="104"/>
      <c r="F461" s="121"/>
    </row>
    <row r="462" ht="15.75" customHeight="1">
      <c r="D462" s="104"/>
      <c r="F462" s="121"/>
    </row>
    <row r="463" ht="15.75" customHeight="1">
      <c r="D463" s="104"/>
      <c r="F463" s="121"/>
    </row>
    <row r="464" ht="15.75" customHeight="1">
      <c r="D464" s="104"/>
      <c r="F464" s="121"/>
    </row>
    <row r="465" ht="15.75" customHeight="1">
      <c r="D465" s="104"/>
      <c r="F465" s="121"/>
    </row>
    <row r="466" ht="15.75" customHeight="1">
      <c r="D466" s="104"/>
      <c r="F466" s="121"/>
    </row>
    <row r="467" ht="15.75" customHeight="1">
      <c r="D467" s="104"/>
      <c r="F467" s="121"/>
    </row>
    <row r="468" ht="15.75" customHeight="1">
      <c r="D468" s="104"/>
      <c r="F468" s="121"/>
    </row>
    <row r="469" ht="15.75" customHeight="1">
      <c r="D469" s="104"/>
      <c r="F469" s="121"/>
    </row>
    <row r="470" ht="15.75" customHeight="1">
      <c r="D470" s="104"/>
      <c r="F470" s="121"/>
    </row>
    <row r="471" ht="15.75" customHeight="1">
      <c r="D471" s="104"/>
      <c r="F471" s="121"/>
    </row>
    <row r="472" ht="15.75" customHeight="1">
      <c r="D472" s="104"/>
      <c r="F472" s="121"/>
    </row>
    <row r="473" ht="15.75" customHeight="1">
      <c r="D473" s="104"/>
      <c r="F473" s="121"/>
    </row>
    <row r="474" ht="15.75" customHeight="1">
      <c r="D474" s="104"/>
      <c r="F474" s="121"/>
    </row>
    <row r="475" ht="15.75" customHeight="1">
      <c r="D475" s="104"/>
      <c r="F475" s="121"/>
    </row>
    <row r="476" ht="15.75" customHeight="1">
      <c r="D476" s="104"/>
      <c r="F476" s="121"/>
    </row>
    <row r="477" ht="15.75" customHeight="1">
      <c r="D477" s="104"/>
      <c r="F477" s="121"/>
    </row>
    <row r="478" ht="15.75" customHeight="1">
      <c r="D478" s="104"/>
      <c r="F478" s="121"/>
    </row>
    <row r="479" ht="15.75" customHeight="1">
      <c r="D479" s="104"/>
      <c r="F479" s="121"/>
    </row>
    <row r="480" ht="15.75" customHeight="1">
      <c r="D480" s="104"/>
      <c r="F480" s="121"/>
    </row>
    <row r="481" ht="15.75" customHeight="1">
      <c r="D481" s="104"/>
      <c r="F481" s="121"/>
    </row>
    <row r="482" ht="15.75" customHeight="1">
      <c r="D482" s="104"/>
      <c r="F482" s="121"/>
    </row>
    <row r="483" ht="15.75" customHeight="1">
      <c r="D483" s="104"/>
      <c r="F483" s="121"/>
    </row>
    <row r="484" ht="15.75" customHeight="1">
      <c r="D484" s="104"/>
      <c r="F484" s="121"/>
    </row>
    <row r="485" ht="15.75" customHeight="1">
      <c r="D485" s="104"/>
      <c r="F485" s="121"/>
    </row>
    <row r="486" ht="15.75" customHeight="1">
      <c r="D486" s="104"/>
      <c r="F486" s="121"/>
    </row>
    <row r="487" ht="15.75" customHeight="1">
      <c r="D487" s="104"/>
      <c r="F487" s="121"/>
    </row>
    <row r="488" ht="15.75" customHeight="1">
      <c r="D488" s="104"/>
      <c r="F488" s="121"/>
    </row>
    <row r="489" ht="15.75" customHeight="1">
      <c r="D489" s="104"/>
      <c r="F489" s="121"/>
    </row>
    <row r="490" ht="15.75" customHeight="1">
      <c r="D490" s="104"/>
      <c r="F490" s="121"/>
    </row>
    <row r="491" ht="15.75" customHeight="1">
      <c r="D491" s="104"/>
      <c r="F491" s="121"/>
    </row>
    <row r="492" ht="15.75" customHeight="1">
      <c r="D492" s="104"/>
      <c r="F492" s="121"/>
    </row>
    <row r="493" ht="15.75" customHeight="1">
      <c r="D493" s="104"/>
      <c r="F493" s="121"/>
    </row>
    <row r="494" ht="15.75" customHeight="1">
      <c r="D494" s="104"/>
      <c r="F494" s="121"/>
    </row>
    <row r="495" ht="15.75" customHeight="1">
      <c r="D495" s="104"/>
      <c r="F495" s="121"/>
    </row>
    <row r="496" ht="15.75" customHeight="1">
      <c r="D496" s="104"/>
      <c r="F496" s="121"/>
    </row>
    <row r="497" ht="15.75" customHeight="1">
      <c r="D497" s="104"/>
      <c r="F497" s="121"/>
    </row>
    <row r="498" ht="15.75" customHeight="1">
      <c r="D498" s="104"/>
      <c r="F498" s="121"/>
    </row>
    <row r="499" ht="15.75" customHeight="1">
      <c r="D499" s="104"/>
      <c r="F499" s="121"/>
    </row>
    <row r="500" ht="15.75" customHeight="1">
      <c r="D500" s="104"/>
      <c r="F500" s="121"/>
    </row>
    <row r="501" ht="15.75" customHeight="1">
      <c r="D501" s="104"/>
      <c r="F501" s="121"/>
    </row>
    <row r="502" ht="15.75" customHeight="1">
      <c r="D502" s="104"/>
      <c r="F502" s="121"/>
    </row>
    <row r="503" ht="15.75" customHeight="1">
      <c r="D503" s="104"/>
      <c r="F503" s="121"/>
    </row>
    <row r="504" ht="15.75" customHeight="1">
      <c r="D504" s="104"/>
      <c r="F504" s="121"/>
    </row>
    <row r="505" ht="15.75" customHeight="1">
      <c r="D505" s="104"/>
      <c r="F505" s="121"/>
    </row>
    <row r="506" ht="15.75" customHeight="1">
      <c r="D506" s="104"/>
      <c r="F506" s="121"/>
    </row>
    <row r="507" ht="15.75" customHeight="1">
      <c r="D507" s="104"/>
      <c r="F507" s="121"/>
    </row>
    <row r="508" ht="15.75" customHeight="1">
      <c r="D508" s="104"/>
      <c r="F508" s="121"/>
    </row>
    <row r="509" ht="15.75" customHeight="1">
      <c r="D509" s="104"/>
      <c r="F509" s="121"/>
    </row>
    <row r="510" ht="15.75" customHeight="1">
      <c r="D510" s="104"/>
      <c r="F510" s="121"/>
    </row>
    <row r="511" ht="15.75" customHeight="1">
      <c r="D511" s="104"/>
      <c r="F511" s="121"/>
    </row>
    <row r="512" ht="15.75" customHeight="1">
      <c r="D512" s="104"/>
      <c r="F512" s="121"/>
    </row>
    <row r="513" ht="15.75" customHeight="1">
      <c r="D513" s="104"/>
      <c r="F513" s="121"/>
    </row>
    <row r="514" ht="15.75" customHeight="1">
      <c r="D514" s="104"/>
      <c r="F514" s="121"/>
    </row>
    <row r="515" ht="15.75" customHeight="1">
      <c r="D515" s="104"/>
      <c r="F515" s="121"/>
    </row>
    <row r="516" ht="15.75" customHeight="1">
      <c r="D516" s="104"/>
      <c r="F516" s="121"/>
    </row>
    <row r="517" ht="15.75" customHeight="1">
      <c r="D517" s="104"/>
      <c r="F517" s="121"/>
    </row>
    <row r="518" ht="15.75" customHeight="1">
      <c r="D518" s="104"/>
      <c r="F518" s="121"/>
    </row>
    <row r="519" ht="15.75" customHeight="1">
      <c r="D519" s="104"/>
      <c r="F519" s="121"/>
    </row>
    <row r="520" ht="15.75" customHeight="1">
      <c r="D520" s="104"/>
      <c r="F520" s="121"/>
    </row>
    <row r="521" ht="15.75" customHeight="1">
      <c r="D521" s="104"/>
      <c r="F521" s="121"/>
    </row>
    <row r="522" ht="15.75" customHeight="1">
      <c r="D522" s="104"/>
      <c r="F522" s="121"/>
    </row>
    <row r="523" ht="15.75" customHeight="1">
      <c r="D523" s="104"/>
      <c r="F523" s="121"/>
    </row>
    <row r="524" ht="15.75" customHeight="1">
      <c r="D524" s="104"/>
      <c r="F524" s="121"/>
    </row>
    <row r="525" ht="15.75" customHeight="1">
      <c r="D525" s="104"/>
      <c r="F525" s="121"/>
    </row>
    <row r="526" ht="15.75" customHeight="1">
      <c r="D526" s="104"/>
      <c r="F526" s="121"/>
    </row>
    <row r="527" ht="15.75" customHeight="1">
      <c r="D527" s="104"/>
      <c r="F527" s="121"/>
    </row>
    <row r="528" ht="15.75" customHeight="1">
      <c r="D528" s="104"/>
      <c r="F528" s="121"/>
    </row>
    <row r="529" ht="15.75" customHeight="1">
      <c r="D529" s="104"/>
      <c r="F529" s="121"/>
    </row>
    <row r="530" ht="15.75" customHeight="1">
      <c r="D530" s="104"/>
      <c r="F530" s="121"/>
    </row>
    <row r="531" ht="15.75" customHeight="1">
      <c r="D531" s="104"/>
      <c r="F531" s="121"/>
    </row>
    <row r="532" ht="15.75" customHeight="1">
      <c r="D532" s="104"/>
      <c r="F532" s="121"/>
    </row>
    <row r="533" ht="15.75" customHeight="1">
      <c r="D533" s="104"/>
      <c r="F533" s="121"/>
    </row>
    <row r="534" ht="15.75" customHeight="1">
      <c r="D534" s="104"/>
      <c r="F534" s="121"/>
    </row>
    <row r="535" ht="15.75" customHeight="1">
      <c r="D535" s="104"/>
      <c r="F535" s="121"/>
    </row>
    <row r="536" ht="15.75" customHeight="1">
      <c r="D536" s="104"/>
      <c r="F536" s="121"/>
    </row>
    <row r="537" ht="15.75" customHeight="1">
      <c r="D537" s="104"/>
      <c r="F537" s="121"/>
    </row>
    <row r="538" ht="15.75" customHeight="1">
      <c r="D538" s="104"/>
      <c r="F538" s="121"/>
    </row>
    <row r="539" ht="15.75" customHeight="1">
      <c r="D539" s="104"/>
      <c r="F539" s="121"/>
    </row>
    <row r="540" ht="15.75" customHeight="1">
      <c r="D540" s="104"/>
      <c r="F540" s="121"/>
    </row>
    <row r="541" ht="15.75" customHeight="1">
      <c r="D541" s="104"/>
      <c r="F541" s="121"/>
    </row>
    <row r="542" ht="15.75" customHeight="1">
      <c r="D542" s="104"/>
      <c r="F542" s="121"/>
    </row>
    <row r="543" ht="15.75" customHeight="1">
      <c r="D543" s="104"/>
      <c r="F543" s="121"/>
    </row>
    <row r="544" ht="15.75" customHeight="1">
      <c r="D544" s="104"/>
      <c r="F544" s="121"/>
    </row>
    <row r="545" ht="15.75" customHeight="1">
      <c r="D545" s="104"/>
      <c r="F545" s="121"/>
    </row>
    <row r="546" ht="15.75" customHeight="1">
      <c r="D546" s="104"/>
      <c r="F546" s="121"/>
    </row>
    <row r="547" ht="15.75" customHeight="1">
      <c r="D547" s="104"/>
      <c r="F547" s="121"/>
    </row>
    <row r="548" ht="15.75" customHeight="1">
      <c r="D548" s="104"/>
      <c r="F548" s="121"/>
    </row>
    <row r="549" ht="15.75" customHeight="1">
      <c r="D549" s="104"/>
      <c r="F549" s="121"/>
    </row>
    <row r="550" ht="15.75" customHeight="1">
      <c r="D550" s="104"/>
      <c r="F550" s="121"/>
    </row>
    <row r="551" ht="15.75" customHeight="1">
      <c r="D551" s="104"/>
      <c r="F551" s="121"/>
    </row>
    <row r="552" ht="15.75" customHeight="1">
      <c r="D552" s="104"/>
      <c r="F552" s="121"/>
    </row>
    <row r="553" ht="15.75" customHeight="1">
      <c r="D553" s="104"/>
      <c r="F553" s="121"/>
    </row>
    <row r="554" ht="15.75" customHeight="1">
      <c r="D554" s="104"/>
      <c r="F554" s="121"/>
    </row>
    <row r="555" ht="15.75" customHeight="1">
      <c r="D555" s="104"/>
      <c r="F555" s="121"/>
    </row>
    <row r="556" ht="15.75" customHeight="1">
      <c r="D556" s="104"/>
      <c r="F556" s="121"/>
    </row>
    <row r="557" ht="15.75" customHeight="1">
      <c r="D557" s="104"/>
      <c r="F557" s="121"/>
    </row>
    <row r="558" ht="15.75" customHeight="1">
      <c r="D558" s="104"/>
      <c r="F558" s="121"/>
    </row>
    <row r="559" ht="15.75" customHeight="1">
      <c r="D559" s="104"/>
      <c r="F559" s="121"/>
    </row>
    <row r="560" ht="15.75" customHeight="1">
      <c r="D560" s="104"/>
      <c r="F560" s="121"/>
    </row>
    <row r="561" ht="15.75" customHeight="1">
      <c r="D561" s="104"/>
      <c r="F561" s="121"/>
    </row>
    <row r="562" ht="15.75" customHeight="1">
      <c r="D562" s="104"/>
      <c r="F562" s="121"/>
    </row>
    <row r="563" ht="15.75" customHeight="1">
      <c r="D563" s="104"/>
      <c r="F563" s="121"/>
    </row>
    <row r="564" ht="15.75" customHeight="1">
      <c r="D564" s="104"/>
      <c r="F564" s="121"/>
    </row>
    <row r="565" ht="15.75" customHeight="1">
      <c r="D565" s="104"/>
      <c r="F565" s="121"/>
    </row>
    <row r="566" ht="15.75" customHeight="1">
      <c r="D566" s="104"/>
      <c r="F566" s="121"/>
    </row>
    <row r="567" ht="15.75" customHeight="1">
      <c r="D567" s="104"/>
      <c r="F567" s="121"/>
    </row>
    <row r="568" ht="15.75" customHeight="1">
      <c r="D568" s="104"/>
      <c r="F568" s="121"/>
    </row>
    <row r="569" ht="15.75" customHeight="1">
      <c r="D569" s="104"/>
      <c r="F569" s="121"/>
    </row>
    <row r="570" ht="15.75" customHeight="1">
      <c r="D570" s="104"/>
      <c r="F570" s="121"/>
    </row>
    <row r="571" ht="15.75" customHeight="1">
      <c r="D571" s="104"/>
      <c r="F571" s="121"/>
    </row>
    <row r="572" ht="15.75" customHeight="1">
      <c r="D572" s="104"/>
      <c r="F572" s="121"/>
    </row>
    <row r="573" ht="15.75" customHeight="1">
      <c r="D573" s="104"/>
      <c r="F573" s="121"/>
    </row>
    <row r="574" ht="15.75" customHeight="1">
      <c r="D574" s="104"/>
      <c r="F574" s="121"/>
    </row>
    <row r="575" ht="15.75" customHeight="1">
      <c r="D575" s="104"/>
      <c r="F575" s="121"/>
    </row>
    <row r="576" ht="15.75" customHeight="1">
      <c r="D576" s="104"/>
      <c r="F576" s="121"/>
    </row>
    <row r="577" ht="15.75" customHeight="1">
      <c r="D577" s="104"/>
      <c r="F577" s="121"/>
    </row>
    <row r="578" ht="15.75" customHeight="1">
      <c r="D578" s="104"/>
      <c r="F578" s="121"/>
    </row>
    <row r="579" ht="15.75" customHeight="1">
      <c r="D579" s="104"/>
      <c r="F579" s="121"/>
    </row>
    <row r="580" ht="15.75" customHeight="1">
      <c r="D580" s="104"/>
      <c r="F580" s="121"/>
    </row>
    <row r="581" ht="15.75" customHeight="1">
      <c r="D581" s="104"/>
      <c r="F581" s="121"/>
    </row>
    <row r="582" ht="15.75" customHeight="1">
      <c r="D582" s="104"/>
      <c r="F582" s="121"/>
    </row>
    <row r="583" ht="15.75" customHeight="1">
      <c r="D583" s="104"/>
      <c r="F583" s="121"/>
    </row>
    <row r="584" ht="15.75" customHeight="1">
      <c r="D584" s="104"/>
      <c r="F584" s="121"/>
    </row>
    <row r="585" ht="15.75" customHeight="1">
      <c r="D585" s="104"/>
      <c r="F585" s="121"/>
    </row>
    <row r="586" ht="15.75" customHeight="1">
      <c r="D586" s="104"/>
      <c r="F586" s="121"/>
    </row>
    <row r="587" ht="15.75" customHeight="1">
      <c r="D587" s="104"/>
      <c r="F587" s="121"/>
    </row>
    <row r="588" ht="15.75" customHeight="1">
      <c r="D588" s="104"/>
      <c r="F588" s="121"/>
    </row>
    <row r="589" ht="15.75" customHeight="1">
      <c r="D589" s="104"/>
      <c r="F589" s="121"/>
    </row>
    <row r="590" ht="15.75" customHeight="1">
      <c r="D590" s="104"/>
      <c r="F590" s="121"/>
    </row>
    <row r="591" ht="15.75" customHeight="1">
      <c r="D591" s="104"/>
      <c r="F591" s="121"/>
    </row>
    <row r="592" ht="15.75" customHeight="1">
      <c r="D592" s="104"/>
      <c r="F592" s="121"/>
    </row>
    <row r="593" ht="15.75" customHeight="1">
      <c r="D593" s="104"/>
      <c r="F593" s="121"/>
    </row>
    <row r="594" ht="15.75" customHeight="1">
      <c r="D594" s="104"/>
      <c r="F594" s="121"/>
    </row>
    <row r="595" ht="15.75" customHeight="1">
      <c r="D595" s="104"/>
      <c r="F595" s="121"/>
    </row>
    <row r="596" ht="15.75" customHeight="1">
      <c r="D596" s="104"/>
      <c r="F596" s="121"/>
    </row>
    <row r="597" ht="15.75" customHeight="1">
      <c r="D597" s="104"/>
      <c r="F597" s="121"/>
    </row>
    <row r="598" ht="15.75" customHeight="1">
      <c r="D598" s="104"/>
      <c r="F598" s="121"/>
    </row>
    <row r="599" ht="15.75" customHeight="1">
      <c r="D599" s="104"/>
      <c r="F599" s="121"/>
    </row>
    <row r="600" ht="15.75" customHeight="1">
      <c r="D600" s="104"/>
      <c r="F600" s="121"/>
    </row>
    <row r="601" ht="15.75" customHeight="1">
      <c r="D601" s="104"/>
      <c r="F601" s="121"/>
    </row>
    <row r="602" ht="15.75" customHeight="1">
      <c r="D602" s="104"/>
      <c r="F602" s="121"/>
    </row>
    <row r="603" ht="15.75" customHeight="1">
      <c r="D603" s="104"/>
      <c r="F603" s="121"/>
    </row>
    <row r="604" ht="15.75" customHeight="1">
      <c r="D604" s="104"/>
      <c r="F604" s="121"/>
    </row>
    <row r="605" ht="15.75" customHeight="1">
      <c r="D605" s="104"/>
      <c r="F605" s="121"/>
    </row>
    <row r="606" ht="15.75" customHeight="1">
      <c r="D606" s="104"/>
      <c r="F606" s="121"/>
    </row>
    <row r="607" ht="15.75" customHeight="1">
      <c r="D607" s="104"/>
      <c r="F607" s="121"/>
    </row>
    <row r="608" ht="15.75" customHeight="1">
      <c r="D608" s="104"/>
      <c r="F608" s="121"/>
    </row>
    <row r="609" ht="15.75" customHeight="1">
      <c r="D609" s="104"/>
      <c r="F609" s="121"/>
    </row>
    <row r="610" ht="15.75" customHeight="1">
      <c r="D610" s="104"/>
      <c r="F610" s="121"/>
    </row>
    <row r="611" ht="15.75" customHeight="1">
      <c r="D611" s="104"/>
      <c r="F611" s="121"/>
    </row>
    <row r="612" ht="15.75" customHeight="1">
      <c r="D612" s="104"/>
      <c r="F612" s="121"/>
    </row>
    <row r="613" ht="15.75" customHeight="1">
      <c r="D613" s="104"/>
      <c r="F613" s="121"/>
    </row>
    <row r="614" ht="15.75" customHeight="1">
      <c r="D614" s="104"/>
      <c r="F614" s="121"/>
    </row>
    <row r="615" ht="15.75" customHeight="1">
      <c r="D615" s="104"/>
      <c r="F615" s="121"/>
    </row>
    <row r="616" ht="15.75" customHeight="1">
      <c r="D616" s="104"/>
      <c r="F616" s="121"/>
    </row>
    <row r="617" ht="15.75" customHeight="1">
      <c r="D617" s="104"/>
      <c r="F617" s="121"/>
    </row>
    <row r="618" ht="15.75" customHeight="1">
      <c r="D618" s="104"/>
      <c r="F618" s="121"/>
    </row>
    <row r="619" ht="15.75" customHeight="1">
      <c r="D619" s="104"/>
      <c r="F619" s="121"/>
    </row>
    <row r="620" ht="15.75" customHeight="1">
      <c r="D620" s="104"/>
      <c r="F620" s="121"/>
    </row>
    <row r="621" ht="15.75" customHeight="1">
      <c r="D621" s="104"/>
      <c r="F621" s="121"/>
    </row>
    <row r="622" ht="15.75" customHeight="1">
      <c r="D622" s="104"/>
      <c r="F622" s="121"/>
    </row>
    <row r="623" ht="15.75" customHeight="1">
      <c r="D623" s="104"/>
      <c r="F623" s="121"/>
    </row>
    <row r="624" ht="15.75" customHeight="1">
      <c r="D624" s="104"/>
      <c r="F624" s="121"/>
    </row>
    <row r="625" ht="15.75" customHeight="1">
      <c r="D625" s="104"/>
      <c r="F625" s="121"/>
    </row>
    <row r="626" ht="15.75" customHeight="1">
      <c r="D626" s="104"/>
      <c r="F626" s="121"/>
    </row>
    <row r="627" ht="15.75" customHeight="1">
      <c r="D627" s="104"/>
      <c r="F627" s="121"/>
    </row>
    <row r="628" ht="15.75" customHeight="1">
      <c r="D628" s="104"/>
      <c r="F628" s="121"/>
    </row>
    <row r="629" ht="15.75" customHeight="1">
      <c r="D629" s="104"/>
      <c r="F629" s="121"/>
    </row>
    <row r="630" ht="15.75" customHeight="1">
      <c r="D630" s="104"/>
      <c r="F630" s="121"/>
    </row>
    <row r="631" ht="15.75" customHeight="1">
      <c r="D631" s="104"/>
      <c r="F631" s="121"/>
    </row>
    <row r="632" ht="15.75" customHeight="1">
      <c r="D632" s="104"/>
      <c r="F632" s="121"/>
    </row>
    <row r="633" ht="15.75" customHeight="1">
      <c r="D633" s="104"/>
      <c r="F633" s="121"/>
    </row>
    <row r="634" ht="15.75" customHeight="1">
      <c r="D634" s="104"/>
      <c r="F634" s="121"/>
    </row>
    <row r="635" ht="15.75" customHeight="1">
      <c r="D635" s="104"/>
      <c r="F635" s="121"/>
    </row>
    <row r="636" ht="15.75" customHeight="1">
      <c r="D636" s="104"/>
      <c r="F636" s="121"/>
    </row>
    <row r="637" ht="15.75" customHeight="1">
      <c r="D637" s="104"/>
      <c r="F637" s="121"/>
    </row>
    <row r="638" ht="15.75" customHeight="1">
      <c r="D638" s="104"/>
      <c r="F638" s="121"/>
    </row>
    <row r="639" ht="15.75" customHeight="1">
      <c r="D639" s="104"/>
      <c r="F639" s="121"/>
    </row>
    <row r="640" ht="15.75" customHeight="1">
      <c r="D640" s="104"/>
      <c r="F640" s="121"/>
    </row>
    <row r="641" ht="15.75" customHeight="1">
      <c r="D641" s="104"/>
      <c r="F641" s="121"/>
    </row>
    <row r="642" ht="15.75" customHeight="1">
      <c r="D642" s="104"/>
      <c r="F642" s="121"/>
    </row>
    <row r="643" ht="15.75" customHeight="1">
      <c r="D643" s="104"/>
      <c r="F643" s="121"/>
    </row>
    <row r="644" ht="15.75" customHeight="1">
      <c r="D644" s="104"/>
      <c r="F644" s="121"/>
    </row>
    <row r="645" ht="15.75" customHeight="1">
      <c r="D645" s="104"/>
      <c r="F645" s="121"/>
    </row>
    <row r="646" ht="15.75" customHeight="1">
      <c r="D646" s="104"/>
      <c r="F646" s="121"/>
    </row>
    <row r="647" ht="15.75" customHeight="1">
      <c r="D647" s="104"/>
      <c r="F647" s="121"/>
    </row>
    <row r="648" ht="15.75" customHeight="1">
      <c r="D648" s="104"/>
      <c r="F648" s="121"/>
    </row>
    <row r="649" ht="15.75" customHeight="1">
      <c r="D649" s="104"/>
      <c r="F649" s="121"/>
    </row>
    <row r="650" ht="15.75" customHeight="1">
      <c r="D650" s="104"/>
      <c r="F650" s="121"/>
    </row>
    <row r="651" ht="15.75" customHeight="1">
      <c r="D651" s="104"/>
      <c r="F651" s="121"/>
    </row>
    <row r="652" ht="15.75" customHeight="1">
      <c r="D652" s="104"/>
      <c r="F652" s="121"/>
    </row>
    <row r="653" ht="15.75" customHeight="1">
      <c r="D653" s="104"/>
      <c r="F653" s="121"/>
    </row>
    <row r="654" ht="15.75" customHeight="1">
      <c r="D654" s="104"/>
      <c r="F654" s="121"/>
    </row>
    <row r="655" ht="15.75" customHeight="1">
      <c r="D655" s="104"/>
      <c r="F655" s="121"/>
    </row>
    <row r="656" ht="15.75" customHeight="1">
      <c r="D656" s="104"/>
      <c r="F656" s="121"/>
    </row>
    <row r="657" ht="15.75" customHeight="1">
      <c r="D657" s="104"/>
      <c r="F657" s="121"/>
    </row>
    <row r="658" ht="15.75" customHeight="1">
      <c r="D658" s="104"/>
      <c r="F658" s="121"/>
    </row>
    <row r="659" ht="15.75" customHeight="1">
      <c r="D659" s="104"/>
      <c r="F659" s="121"/>
    </row>
    <row r="660" ht="15.75" customHeight="1">
      <c r="D660" s="104"/>
      <c r="F660" s="121"/>
    </row>
    <row r="661" ht="15.75" customHeight="1">
      <c r="D661" s="104"/>
      <c r="F661" s="121"/>
    </row>
    <row r="662" ht="15.75" customHeight="1">
      <c r="D662" s="104"/>
      <c r="F662" s="121"/>
    </row>
    <row r="663" ht="15.75" customHeight="1">
      <c r="D663" s="104"/>
      <c r="F663" s="121"/>
    </row>
    <row r="664" ht="15.75" customHeight="1">
      <c r="D664" s="104"/>
      <c r="F664" s="121"/>
    </row>
    <row r="665" ht="15.75" customHeight="1">
      <c r="D665" s="104"/>
      <c r="F665" s="121"/>
    </row>
    <row r="666" ht="15.75" customHeight="1">
      <c r="D666" s="104"/>
      <c r="F666" s="121"/>
    </row>
    <row r="667" ht="15.75" customHeight="1">
      <c r="D667" s="104"/>
      <c r="F667" s="121"/>
    </row>
    <row r="668" ht="15.75" customHeight="1">
      <c r="D668" s="104"/>
      <c r="F668" s="121"/>
    </row>
    <row r="669" ht="15.75" customHeight="1">
      <c r="D669" s="104"/>
      <c r="F669" s="121"/>
    </row>
    <row r="670" ht="15.75" customHeight="1">
      <c r="D670" s="104"/>
      <c r="F670" s="121"/>
    </row>
    <row r="671" ht="15.75" customHeight="1">
      <c r="D671" s="104"/>
      <c r="F671" s="121"/>
    </row>
    <row r="672" ht="15.75" customHeight="1">
      <c r="D672" s="104"/>
      <c r="F672" s="121"/>
    </row>
    <row r="673" ht="15.75" customHeight="1">
      <c r="D673" s="104"/>
      <c r="F673" s="121"/>
    </row>
    <row r="674" ht="15.75" customHeight="1">
      <c r="D674" s="104"/>
      <c r="F674" s="121"/>
    </row>
    <row r="675" ht="15.75" customHeight="1">
      <c r="D675" s="104"/>
      <c r="F675" s="121"/>
    </row>
    <row r="676" ht="15.75" customHeight="1">
      <c r="D676" s="104"/>
      <c r="F676" s="121"/>
    </row>
    <row r="677" ht="15.75" customHeight="1">
      <c r="D677" s="104"/>
      <c r="F677" s="121"/>
    </row>
    <row r="678" ht="15.75" customHeight="1">
      <c r="D678" s="104"/>
      <c r="F678" s="121"/>
    </row>
    <row r="679" ht="15.75" customHeight="1">
      <c r="D679" s="104"/>
      <c r="F679" s="121"/>
    </row>
    <row r="680" ht="15.75" customHeight="1">
      <c r="D680" s="104"/>
      <c r="F680" s="121"/>
    </row>
    <row r="681" ht="15.75" customHeight="1">
      <c r="D681" s="104"/>
      <c r="F681" s="121"/>
    </row>
    <row r="682" ht="15.75" customHeight="1">
      <c r="D682" s="104"/>
      <c r="F682" s="121"/>
    </row>
    <row r="683" ht="15.75" customHeight="1">
      <c r="D683" s="104"/>
      <c r="F683" s="121"/>
    </row>
    <row r="684" ht="15.75" customHeight="1">
      <c r="D684" s="104"/>
      <c r="F684" s="121"/>
    </row>
    <row r="685" ht="15.75" customHeight="1">
      <c r="D685" s="104"/>
      <c r="F685" s="121"/>
    </row>
    <row r="686" ht="15.75" customHeight="1">
      <c r="D686" s="104"/>
      <c r="F686" s="121"/>
    </row>
    <row r="687" ht="15.75" customHeight="1">
      <c r="D687" s="104"/>
      <c r="F687" s="121"/>
    </row>
    <row r="688" ht="15.75" customHeight="1">
      <c r="D688" s="104"/>
      <c r="F688" s="121"/>
    </row>
    <row r="689" ht="15.75" customHeight="1">
      <c r="D689" s="104"/>
      <c r="F689" s="121"/>
    </row>
    <row r="690" ht="15.75" customHeight="1">
      <c r="D690" s="104"/>
      <c r="F690" s="121"/>
    </row>
    <row r="691" ht="15.75" customHeight="1">
      <c r="D691" s="104"/>
      <c r="F691" s="121"/>
    </row>
    <row r="692" ht="15.75" customHeight="1">
      <c r="D692" s="104"/>
      <c r="F692" s="121"/>
    </row>
    <row r="693" ht="15.75" customHeight="1">
      <c r="D693" s="104"/>
      <c r="F693" s="121"/>
    </row>
    <row r="694" ht="15.75" customHeight="1">
      <c r="D694" s="104"/>
      <c r="F694" s="121"/>
    </row>
    <row r="695" ht="15.75" customHeight="1">
      <c r="D695" s="104"/>
      <c r="F695" s="121"/>
    </row>
    <row r="696" ht="15.75" customHeight="1">
      <c r="D696" s="104"/>
      <c r="F696" s="121"/>
    </row>
    <row r="697" ht="15.75" customHeight="1">
      <c r="D697" s="104"/>
      <c r="F697" s="121"/>
    </row>
    <row r="698" ht="15.75" customHeight="1">
      <c r="D698" s="104"/>
      <c r="F698" s="121"/>
    </row>
    <row r="699" ht="15.75" customHeight="1">
      <c r="D699" s="104"/>
      <c r="F699" s="121"/>
    </row>
    <row r="700" ht="15.75" customHeight="1">
      <c r="D700" s="104"/>
      <c r="F700" s="121"/>
    </row>
    <row r="701" ht="15.75" customHeight="1">
      <c r="D701" s="104"/>
      <c r="F701" s="121"/>
    </row>
    <row r="702" ht="15.75" customHeight="1">
      <c r="D702" s="104"/>
      <c r="F702" s="121"/>
    </row>
    <row r="703" ht="15.75" customHeight="1">
      <c r="D703" s="104"/>
      <c r="F703" s="121"/>
    </row>
    <row r="704" ht="15.75" customHeight="1">
      <c r="D704" s="104"/>
      <c r="F704" s="121"/>
    </row>
    <row r="705" ht="15.75" customHeight="1">
      <c r="D705" s="104"/>
      <c r="F705" s="121"/>
    </row>
    <row r="706" ht="15.75" customHeight="1">
      <c r="D706" s="104"/>
      <c r="F706" s="121"/>
    </row>
    <row r="707" ht="15.75" customHeight="1">
      <c r="D707" s="104"/>
      <c r="F707" s="121"/>
    </row>
    <row r="708" ht="15.75" customHeight="1">
      <c r="D708" s="104"/>
      <c r="F708" s="121"/>
    </row>
    <row r="709" ht="15.75" customHeight="1">
      <c r="D709" s="104"/>
      <c r="F709" s="121"/>
    </row>
    <row r="710" ht="15.75" customHeight="1">
      <c r="D710" s="104"/>
      <c r="F710" s="121"/>
    </row>
    <row r="711" ht="15.75" customHeight="1">
      <c r="D711" s="104"/>
      <c r="F711" s="121"/>
    </row>
    <row r="712" ht="15.75" customHeight="1">
      <c r="D712" s="104"/>
      <c r="F712" s="121"/>
    </row>
    <row r="713" ht="15.75" customHeight="1">
      <c r="D713" s="104"/>
      <c r="F713" s="121"/>
    </row>
    <row r="714" ht="15.75" customHeight="1">
      <c r="D714" s="104"/>
      <c r="F714" s="121"/>
    </row>
    <row r="715" ht="15.75" customHeight="1">
      <c r="D715" s="104"/>
      <c r="F715" s="121"/>
    </row>
    <row r="716" ht="15.75" customHeight="1">
      <c r="D716" s="104"/>
      <c r="F716" s="121"/>
    </row>
    <row r="717" ht="15.75" customHeight="1">
      <c r="D717" s="104"/>
      <c r="F717" s="121"/>
    </row>
    <row r="718" ht="15.75" customHeight="1">
      <c r="D718" s="104"/>
      <c r="F718" s="121"/>
    </row>
    <row r="719" ht="15.75" customHeight="1">
      <c r="D719" s="104"/>
      <c r="F719" s="121"/>
    </row>
    <row r="720" ht="15.75" customHeight="1">
      <c r="D720" s="104"/>
      <c r="F720" s="121"/>
    </row>
    <row r="721" ht="15.75" customHeight="1">
      <c r="D721" s="104"/>
      <c r="F721" s="121"/>
    </row>
    <row r="722" ht="15.75" customHeight="1">
      <c r="D722" s="104"/>
      <c r="F722" s="121"/>
    </row>
    <row r="723" ht="15.75" customHeight="1">
      <c r="D723" s="104"/>
      <c r="F723" s="121"/>
    </row>
    <row r="724" ht="15.75" customHeight="1">
      <c r="D724" s="104"/>
      <c r="F724" s="121"/>
    </row>
    <row r="725" ht="15.75" customHeight="1">
      <c r="D725" s="104"/>
      <c r="F725" s="121"/>
    </row>
    <row r="726" ht="15.75" customHeight="1">
      <c r="D726" s="104"/>
      <c r="F726" s="121"/>
    </row>
    <row r="727" ht="15.75" customHeight="1">
      <c r="D727" s="104"/>
      <c r="F727" s="121"/>
    </row>
    <row r="728" ht="15.75" customHeight="1">
      <c r="D728" s="104"/>
      <c r="F728" s="121"/>
    </row>
    <row r="729" ht="15.75" customHeight="1">
      <c r="D729" s="104"/>
      <c r="F729" s="121"/>
    </row>
    <row r="730" ht="15.75" customHeight="1">
      <c r="D730" s="104"/>
      <c r="F730" s="121"/>
    </row>
    <row r="731" ht="15.75" customHeight="1">
      <c r="D731" s="104"/>
      <c r="F731" s="121"/>
    </row>
    <row r="732" ht="15.75" customHeight="1">
      <c r="D732" s="104"/>
      <c r="F732" s="121"/>
    </row>
    <row r="733" ht="15.75" customHeight="1">
      <c r="D733" s="104"/>
      <c r="F733" s="121"/>
    </row>
    <row r="734" ht="15.75" customHeight="1">
      <c r="D734" s="104"/>
      <c r="F734" s="121"/>
    </row>
    <row r="735" ht="15.75" customHeight="1">
      <c r="D735" s="104"/>
      <c r="F735" s="121"/>
    </row>
    <row r="736" ht="15.75" customHeight="1">
      <c r="D736" s="104"/>
      <c r="F736" s="121"/>
    </row>
    <row r="737" ht="15.75" customHeight="1">
      <c r="D737" s="104"/>
      <c r="F737" s="121"/>
    </row>
    <row r="738" ht="15.75" customHeight="1">
      <c r="D738" s="104"/>
      <c r="F738" s="121"/>
    </row>
    <row r="739" ht="15.75" customHeight="1">
      <c r="D739" s="104"/>
      <c r="F739" s="121"/>
    </row>
    <row r="740" ht="15.75" customHeight="1">
      <c r="D740" s="104"/>
      <c r="F740" s="121"/>
    </row>
    <row r="741" ht="15.75" customHeight="1">
      <c r="D741" s="104"/>
      <c r="F741" s="121"/>
    </row>
    <row r="742" ht="15.75" customHeight="1">
      <c r="D742" s="104"/>
      <c r="F742" s="121"/>
    </row>
    <row r="743" ht="15.75" customHeight="1">
      <c r="D743" s="104"/>
      <c r="F743" s="121"/>
    </row>
    <row r="744" ht="15.75" customHeight="1">
      <c r="D744" s="104"/>
      <c r="F744" s="121"/>
    </row>
    <row r="745" ht="15.75" customHeight="1">
      <c r="D745" s="104"/>
      <c r="F745" s="121"/>
    </row>
    <row r="746" ht="15.75" customHeight="1">
      <c r="D746" s="104"/>
      <c r="F746" s="121"/>
    </row>
    <row r="747" ht="15.75" customHeight="1">
      <c r="D747" s="104"/>
      <c r="F747" s="121"/>
    </row>
    <row r="748" ht="15.75" customHeight="1">
      <c r="D748" s="104"/>
      <c r="F748" s="121"/>
    </row>
    <row r="749" ht="15.75" customHeight="1">
      <c r="D749" s="104"/>
      <c r="F749" s="121"/>
    </row>
    <row r="750" ht="15.75" customHeight="1">
      <c r="D750" s="104"/>
      <c r="F750" s="121"/>
    </row>
    <row r="751" ht="15.75" customHeight="1">
      <c r="D751" s="104"/>
      <c r="F751" s="121"/>
    </row>
    <row r="752" ht="15.75" customHeight="1">
      <c r="D752" s="104"/>
      <c r="F752" s="121"/>
    </row>
    <row r="753" ht="15.75" customHeight="1">
      <c r="D753" s="104"/>
      <c r="F753" s="121"/>
    </row>
    <row r="754" ht="15.75" customHeight="1">
      <c r="D754" s="104"/>
      <c r="F754" s="121"/>
    </row>
    <row r="755" ht="15.75" customHeight="1">
      <c r="D755" s="104"/>
      <c r="F755" s="121"/>
    </row>
    <row r="756" ht="15.75" customHeight="1">
      <c r="D756" s="104"/>
      <c r="F756" s="121"/>
    </row>
    <row r="757" ht="15.75" customHeight="1">
      <c r="D757" s="104"/>
      <c r="F757" s="121"/>
    </row>
    <row r="758" ht="15.75" customHeight="1">
      <c r="D758" s="104"/>
      <c r="F758" s="121"/>
    </row>
    <row r="759" ht="15.75" customHeight="1">
      <c r="D759" s="104"/>
      <c r="F759" s="121"/>
    </row>
    <row r="760" ht="15.75" customHeight="1">
      <c r="D760" s="104"/>
      <c r="F760" s="121"/>
    </row>
    <row r="761" ht="15.75" customHeight="1">
      <c r="D761" s="104"/>
      <c r="F761" s="121"/>
    </row>
    <row r="762" ht="15.75" customHeight="1">
      <c r="D762" s="104"/>
      <c r="F762" s="121"/>
    </row>
    <row r="763" ht="15.75" customHeight="1">
      <c r="D763" s="104"/>
      <c r="F763" s="121"/>
    </row>
    <row r="764" ht="15.75" customHeight="1">
      <c r="D764" s="104"/>
      <c r="F764" s="121"/>
    </row>
    <row r="765" ht="15.75" customHeight="1">
      <c r="D765" s="104"/>
      <c r="F765" s="121"/>
    </row>
    <row r="766" ht="15.75" customHeight="1">
      <c r="D766" s="104"/>
      <c r="F766" s="121"/>
    </row>
    <row r="767" ht="15.75" customHeight="1">
      <c r="D767" s="104"/>
      <c r="F767" s="121"/>
    </row>
    <row r="768" ht="15.75" customHeight="1">
      <c r="D768" s="104"/>
      <c r="F768" s="121"/>
    </row>
    <row r="769" ht="15.75" customHeight="1">
      <c r="D769" s="104"/>
      <c r="F769" s="121"/>
    </row>
    <row r="770" ht="15.75" customHeight="1">
      <c r="D770" s="104"/>
      <c r="F770" s="121"/>
    </row>
    <row r="771" ht="15.75" customHeight="1">
      <c r="D771" s="104"/>
      <c r="F771" s="121"/>
    </row>
    <row r="772" ht="15.75" customHeight="1">
      <c r="D772" s="104"/>
      <c r="F772" s="121"/>
    </row>
    <row r="773" ht="15.75" customHeight="1">
      <c r="D773" s="104"/>
      <c r="F773" s="121"/>
    </row>
    <row r="774" ht="15.75" customHeight="1">
      <c r="D774" s="104"/>
      <c r="F774" s="121"/>
    </row>
    <row r="775" ht="15.75" customHeight="1">
      <c r="D775" s="104"/>
      <c r="F775" s="121"/>
    </row>
    <row r="776" ht="15.75" customHeight="1">
      <c r="D776" s="104"/>
      <c r="F776" s="121"/>
    </row>
    <row r="777" ht="15.75" customHeight="1">
      <c r="D777" s="104"/>
      <c r="F777" s="121"/>
    </row>
    <row r="778" ht="15.75" customHeight="1">
      <c r="D778" s="104"/>
      <c r="F778" s="121"/>
    </row>
    <row r="779" ht="15.75" customHeight="1">
      <c r="D779" s="104"/>
      <c r="F779" s="121"/>
    </row>
    <row r="780" ht="15.75" customHeight="1">
      <c r="D780" s="104"/>
      <c r="F780" s="121"/>
    </row>
    <row r="781" ht="15.75" customHeight="1">
      <c r="D781" s="104"/>
      <c r="F781" s="121"/>
    </row>
    <row r="782" ht="15.75" customHeight="1">
      <c r="D782" s="104"/>
      <c r="F782" s="121"/>
    </row>
    <row r="783" ht="15.75" customHeight="1">
      <c r="D783" s="104"/>
      <c r="F783" s="121"/>
    </row>
    <row r="784" ht="15.75" customHeight="1">
      <c r="D784" s="104"/>
      <c r="F784" s="121"/>
    </row>
    <row r="785" ht="15.75" customHeight="1">
      <c r="D785" s="104"/>
      <c r="F785" s="121"/>
    </row>
    <row r="786" ht="15.75" customHeight="1">
      <c r="D786" s="104"/>
      <c r="F786" s="121"/>
    </row>
    <row r="787" ht="15.75" customHeight="1">
      <c r="D787" s="104"/>
      <c r="F787" s="121"/>
    </row>
    <row r="788" ht="15.75" customHeight="1">
      <c r="D788" s="104"/>
      <c r="F788" s="121"/>
    </row>
    <row r="789" ht="15.75" customHeight="1">
      <c r="D789" s="104"/>
      <c r="F789" s="121"/>
    </row>
    <row r="790" ht="15.75" customHeight="1">
      <c r="D790" s="104"/>
      <c r="F790" s="121"/>
    </row>
    <row r="791" ht="15.75" customHeight="1">
      <c r="D791" s="104"/>
      <c r="F791" s="121"/>
    </row>
    <row r="792" ht="15.75" customHeight="1">
      <c r="D792" s="104"/>
      <c r="F792" s="121"/>
    </row>
    <row r="793" ht="15.75" customHeight="1">
      <c r="D793" s="104"/>
      <c r="F793" s="121"/>
    </row>
    <row r="794" ht="15.75" customHeight="1">
      <c r="D794" s="104"/>
      <c r="F794" s="121"/>
    </row>
    <row r="795" ht="15.75" customHeight="1">
      <c r="D795" s="104"/>
      <c r="F795" s="121"/>
    </row>
    <row r="796" ht="15.75" customHeight="1">
      <c r="D796" s="104"/>
      <c r="F796" s="121"/>
    </row>
    <row r="797" ht="15.75" customHeight="1">
      <c r="D797" s="104"/>
      <c r="F797" s="121"/>
    </row>
    <row r="798" ht="15.75" customHeight="1">
      <c r="D798" s="104"/>
      <c r="F798" s="121"/>
    </row>
    <row r="799" ht="15.75" customHeight="1">
      <c r="D799" s="104"/>
      <c r="F799" s="121"/>
    </row>
    <row r="800" ht="15.75" customHeight="1">
      <c r="D800" s="104"/>
      <c r="F800" s="121"/>
    </row>
    <row r="801" ht="15.75" customHeight="1">
      <c r="D801" s="104"/>
      <c r="F801" s="121"/>
    </row>
    <row r="802" ht="15.75" customHeight="1">
      <c r="D802" s="104"/>
      <c r="F802" s="121"/>
    </row>
    <row r="803" ht="15.75" customHeight="1">
      <c r="D803" s="104"/>
      <c r="F803" s="121"/>
    </row>
    <row r="804" ht="15.75" customHeight="1">
      <c r="D804" s="104"/>
      <c r="F804" s="121"/>
    </row>
    <row r="805" ht="15.75" customHeight="1">
      <c r="D805" s="104"/>
      <c r="F805" s="121"/>
    </row>
    <row r="806" ht="15.75" customHeight="1">
      <c r="D806" s="104"/>
      <c r="F806" s="121"/>
    </row>
    <row r="807" ht="15.75" customHeight="1">
      <c r="D807" s="104"/>
      <c r="F807" s="121"/>
    </row>
    <row r="808" ht="15.75" customHeight="1">
      <c r="D808" s="104"/>
      <c r="F808" s="121"/>
    </row>
    <row r="809" ht="15.75" customHeight="1">
      <c r="D809" s="104"/>
      <c r="F809" s="121"/>
    </row>
    <row r="810" ht="15.75" customHeight="1">
      <c r="D810" s="104"/>
      <c r="F810" s="121"/>
    </row>
    <row r="811" ht="15.75" customHeight="1">
      <c r="D811" s="104"/>
      <c r="F811" s="121"/>
    </row>
    <row r="812" ht="15.75" customHeight="1">
      <c r="D812" s="104"/>
      <c r="F812" s="121"/>
    </row>
    <row r="813" ht="15.75" customHeight="1">
      <c r="D813" s="104"/>
      <c r="F813" s="121"/>
    </row>
    <row r="814" ht="15.75" customHeight="1">
      <c r="D814" s="104"/>
      <c r="F814" s="121"/>
    </row>
    <row r="815" ht="15.75" customHeight="1">
      <c r="D815" s="104"/>
      <c r="F815" s="121"/>
    </row>
    <row r="816" ht="15.75" customHeight="1">
      <c r="D816" s="104"/>
      <c r="F816" s="121"/>
    </row>
    <row r="817" ht="15.75" customHeight="1">
      <c r="D817" s="104"/>
      <c r="F817" s="121"/>
    </row>
    <row r="818" ht="15.75" customHeight="1">
      <c r="D818" s="104"/>
      <c r="F818" s="121"/>
    </row>
    <row r="819" ht="15.75" customHeight="1">
      <c r="D819" s="104"/>
      <c r="F819" s="121"/>
    </row>
    <row r="820" ht="15.75" customHeight="1">
      <c r="D820" s="104"/>
      <c r="F820" s="121"/>
    </row>
    <row r="821" ht="15.75" customHeight="1">
      <c r="D821" s="104"/>
      <c r="F821" s="121"/>
    </row>
    <row r="822" ht="15.75" customHeight="1">
      <c r="D822" s="104"/>
      <c r="F822" s="121"/>
    </row>
    <row r="823" ht="15.75" customHeight="1">
      <c r="D823" s="104"/>
      <c r="F823" s="121"/>
    </row>
    <row r="824" ht="15.75" customHeight="1">
      <c r="D824" s="104"/>
      <c r="F824" s="121"/>
    </row>
    <row r="825" ht="15.75" customHeight="1">
      <c r="D825" s="104"/>
      <c r="F825" s="121"/>
    </row>
    <row r="826" ht="15.75" customHeight="1">
      <c r="D826" s="104"/>
      <c r="F826" s="121"/>
    </row>
    <row r="827" ht="15.75" customHeight="1">
      <c r="D827" s="104"/>
      <c r="F827" s="121"/>
    </row>
    <row r="828" ht="15.75" customHeight="1">
      <c r="D828" s="104"/>
      <c r="F828" s="121"/>
    </row>
    <row r="829" ht="15.75" customHeight="1">
      <c r="D829" s="104"/>
      <c r="F829" s="121"/>
    </row>
    <row r="830" ht="15.75" customHeight="1">
      <c r="D830" s="104"/>
      <c r="F830" s="121"/>
    </row>
    <row r="831" ht="15.75" customHeight="1">
      <c r="D831" s="104"/>
      <c r="F831" s="121"/>
    </row>
    <row r="832" ht="15.75" customHeight="1">
      <c r="D832" s="104"/>
      <c r="F832" s="121"/>
    </row>
    <row r="833" ht="15.75" customHeight="1">
      <c r="D833" s="104"/>
      <c r="F833" s="121"/>
    </row>
    <row r="834" ht="15.75" customHeight="1">
      <c r="D834" s="104"/>
      <c r="F834" s="121"/>
    </row>
    <row r="835" ht="15.75" customHeight="1">
      <c r="D835" s="104"/>
      <c r="F835" s="121"/>
    </row>
    <row r="836" ht="15.75" customHeight="1">
      <c r="D836" s="104"/>
      <c r="F836" s="121"/>
    </row>
    <row r="837" ht="15.75" customHeight="1">
      <c r="D837" s="104"/>
      <c r="F837" s="121"/>
    </row>
    <row r="838" ht="15.75" customHeight="1">
      <c r="D838" s="104"/>
      <c r="F838" s="121"/>
    </row>
    <row r="839" ht="15.75" customHeight="1">
      <c r="D839" s="104"/>
      <c r="F839" s="121"/>
    </row>
    <row r="840" ht="15.75" customHeight="1">
      <c r="D840" s="104"/>
      <c r="F840" s="121"/>
    </row>
    <row r="841" ht="15.75" customHeight="1">
      <c r="D841" s="104"/>
      <c r="F841" s="121"/>
    </row>
    <row r="842" ht="15.75" customHeight="1">
      <c r="D842" s="104"/>
      <c r="F842" s="121"/>
    </row>
    <row r="843" ht="15.75" customHeight="1">
      <c r="D843" s="104"/>
      <c r="F843" s="121"/>
    </row>
    <row r="844" ht="15.75" customHeight="1">
      <c r="D844" s="104"/>
      <c r="F844" s="121"/>
    </row>
    <row r="845" ht="15.75" customHeight="1">
      <c r="D845" s="104"/>
      <c r="F845" s="121"/>
    </row>
    <row r="846" ht="15.75" customHeight="1">
      <c r="D846" s="104"/>
      <c r="F846" s="121"/>
    </row>
    <row r="847" ht="15.75" customHeight="1">
      <c r="D847" s="104"/>
      <c r="F847" s="121"/>
    </row>
    <row r="848" ht="15.75" customHeight="1">
      <c r="D848" s="104"/>
      <c r="F848" s="121"/>
    </row>
    <row r="849" ht="15.75" customHeight="1">
      <c r="D849" s="104"/>
      <c r="F849" s="121"/>
    </row>
    <row r="850" ht="15.75" customHeight="1">
      <c r="D850" s="104"/>
      <c r="F850" s="121"/>
    </row>
    <row r="851" ht="15.75" customHeight="1">
      <c r="D851" s="104"/>
      <c r="F851" s="121"/>
    </row>
    <row r="852" ht="15.75" customHeight="1">
      <c r="D852" s="104"/>
      <c r="F852" s="121"/>
    </row>
    <row r="853" ht="15.75" customHeight="1">
      <c r="D853" s="104"/>
      <c r="F853" s="121"/>
    </row>
    <row r="854" ht="15.75" customHeight="1">
      <c r="D854" s="104"/>
      <c r="F854" s="121"/>
    </row>
    <row r="855" ht="15.75" customHeight="1">
      <c r="D855" s="104"/>
      <c r="F855" s="121"/>
    </row>
    <row r="856" ht="15.75" customHeight="1">
      <c r="D856" s="104"/>
      <c r="F856" s="121"/>
    </row>
    <row r="857" ht="15.75" customHeight="1">
      <c r="D857" s="104"/>
      <c r="F857" s="121"/>
    </row>
    <row r="858" ht="15.75" customHeight="1">
      <c r="D858" s="104"/>
      <c r="F858" s="121"/>
    </row>
    <row r="859" ht="15.75" customHeight="1">
      <c r="D859" s="104"/>
      <c r="F859" s="121"/>
    </row>
    <row r="860" ht="15.75" customHeight="1">
      <c r="D860" s="104"/>
      <c r="F860" s="121"/>
    </row>
    <row r="861" ht="15.75" customHeight="1">
      <c r="D861" s="104"/>
      <c r="F861" s="121"/>
    </row>
    <row r="862" ht="15.75" customHeight="1">
      <c r="D862" s="104"/>
      <c r="F862" s="121"/>
    </row>
    <row r="863" ht="15.75" customHeight="1">
      <c r="D863" s="104"/>
      <c r="F863" s="121"/>
    </row>
    <row r="864" ht="15.75" customHeight="1">
      <c r="D864" s="104"/>
      <c r="F864" s="121"/>
    </row>
    <row r="865" ht="15.75" customHeight="1">
      <c r="D865" s="104"/>
      <c r="F865" s="121"/>
    </row>
    <row r="866" ht="15.75" customHeight="1">
      <c r="D866" s="104"/>
      <c r="F866" s="121"/>
    </row>
    <row r="867" ht="15.75" customHeight="1">
      <c r="D867" s="104"/>
      <c r="F867" s="121"/>
    </row>
    <row r="868" ht="15.75" customHeight="1">
      <c r="D868" s="104"/>
      <c r="F868" s="121"/>
    </row>
    <row r="869" ht="15.75" customHeight="1">
      <c r="D869" s="104"/>
      <c r="F869" s="121"/>
    </row>
    <row r="870" ht="15.75" customHeight="1">
      <c r="D870" s="104"/>
      <c r="F870" s="121"/>
    </row>
    <row r="871" ht="15.75" customHeight="1">
      <c r="D871" s="104"/>
      <c r="F871" s="121"/>
    </row>
    <row r="872" ht="15.75" customHeight="1">
      <c r="D872" s="104"/>
      <c r="F872" s="121"/>
    </row>
    <row r="873" ht="15.75" customHeight="1">
      <c r="D873" s="104"/>
      <c r="F873" s="121"/>
    </row>
    <row r="874" ht="15.75" customHeight="1">
      <c r="D874" s="104"/>
      <c r="F874" s="121"/>
    </row>
    <row r="875" ht="15.75" customHeight="1">
      <c r="D875" s="104"/>
      <c r="F875" s="121"/>
    </row>
    <row r="876" ht="15.75" customHeight="1">
      <c r="D876" s="104"/>
      <c r="F876" s="121"/>
    </row>
    <row r="877" ht="15.75" customHeight="1">
      <c r="D877" s="104"/>
      <c r="F877" s="121"/>
    </row>
    <row r="878" ht="15.75" customHeight="1">
      <c r="D878" s="104"/>
      <c r="F878" s="121"/>
    </row>
    <row r="879" ht="15.75" customHeight="1">
      <c r="D879" s="104"/>
      <c r="F879" s="121"/>
    </row>
    <row r="880" ht="15.75" customHeight="1">
      <c r="D880" s="104"/>
      <c r="F880" s="121"/>
    </row>
    <row r="881" ht="15.75" customHeight="1">
      <c r="D881" s="104"/>
      <c r="F881" s="121"/>
    </row>
    <row r="882" ht="15.75" customHeight="1">
      <c r="D882" s="104"/>
      <c r="F882" s="121"/>
    </row>
    <row r="883" ht="15.75" customHeight="1">
      <c r="D883" s="104"/>
      <c r="F883" s="121"/>
    </row>
    <row r="884" ht="15.75" customHeight="1">
      <c r="D884" s="104"/>
      <c r="F884" s="121"/>
    </row>
    <row r="885" ht="15.75" customHeight="1">
      <c r="D885" s="104"/>
      <c r="F885" s="121"/>
    </row>
    <row r="886" ht="15.75" customHeight="1">
      <c r="D886" s="104"/>
      <c r="F886" s="121"/>
    </row>
    <row r="887" ht="15.75" customHeight="1">
      <c r="D887" s="104"/>
      <c r="F887" s="121"/>
    </row>
    <row r="888" ht="15.75" customHeight="1">
      <c r="D888" s="104"/>
      <c r="F888" s="121"/>
    </row>
    <row r="889" ht="15.75" customHeight="1">
      <c r="D889" s="104"/>
      <c r="F889" s="121"/>
    </row>
    <row r="890" ht="15.75" customHeight="1">
      <c r="D890" s="104"/>
      <c r="F890" s="121"/>
    </row>
    <row r="891" ht="15.75" customHeight="1">
      <c r="D891" s="104"/>
      <c r="F891" s="121"/>
    </row>
    <row r="892" ht="15.75" customHeight="1">
      <c r="D892" s="104"/>
      <c r="F892" s="121"/>
    </row>
    <row r="893" ht="15.75" customHeight="1">
      <c r="D893" s="104"/>
      <c r="F893" s="121"/>
    </row>
    <row r="894" ht="15.75" customHeight="1">
      <c r="D894" s="104"/>
      <c r="F894" s="121"/>
    </row>
    <row r="895" ht="15.75" customHeight="1">
      <c r="D895" s="104"/>
      <c r="F895" s="121"/>
    </row>
    <row r="896" ht="15.75" customHeight="1">
      <c r="D896" s="104"/>
      <c r="F896" s="121"/>
    </row>
    <row r="897" ht="15.75" customHeight="1">
      <c r="D897" s="104"/>
      <c r="F897" s="121"/>
    </row>
    <row r="898" ht="15.75" customHeight="1">
      <c r="D898" s="104"/>
      <c r="F898" s="121"/>
    </row>
    <row r="899" ht="15.75" customHeight="1">
      <c r="D899" s="104"/>
      <c r="F899" s="121"/>
    </row>
    <row r="900" ht="15.75" customHeight="1">
      <c r="D900" s="104"/>
      <c r="F900" s="121"/>
    </row>
    <row r="901" ht="15.75" customHeight="1">
      <c r="D901" s="104"/>
      <c r="F901" s="121"/>
    </row>
    <row r="902" ht="15.75" customHeight="1">
      <c r="D902" s="104"/>
      <c r="F902" s="121"/>
    </row>
    <row r="903" ht="15.75" customHeight="1">
      <c r="D903" s="104"/>
      <c r="F903" s="121"/>
    </row>
    <row r="904" ht="15.75" customHeight="1">
      <c r="D904" s="104"/>
      <c r="F904" s="121"/>
    </row>
    <row r="905" ht="15.75" customHeight="1">
      <c r="D905" s="104"/>
      <c r="F905" s="121"/>
    </row>
    <row r="906" ht="15.75" customHeight="1">
      <c r="D906" s="104"/>
      <c r="F906" s="121"/>
    </row>
    <row r="907" ht="15.75" customHeight="1">
      <c r="D907" s="104"/>
      <c r="F907" s="121"/>
    </row>
    <row r="908" ht="15.75" customHeight="1">
      <c r="D908" s="104"/>
      <c r="F908" s="121"/>
    </row>
    <row r="909" ht="15.75" customHeight="1">
      <c r="D909" s="104"/>
      <c r="F909" s="121"/>
    </row>
    <row r="910" ht="15.75" customHeight="1">
      <c r="D910" s="104"/>
      <c r="F910" s="121"/>
    </row>
    <row r="911" ht="15.75" customHeight="1">
      <c r="D911" s="104"/>
      <c r="F911" s="121"/>
    </row>
    <row r="912" ht="15.75" customHeight="1">
      <c r="D912" s="104"/>
      <c r="F912" s="121"/>
    </row>
    <row r="913" ht="15.75" customHeight="1">
      <c r="D913" s="104"/>
      <c r="F913" s="121"/>
    </row>
    <row r="914" ht="15.75" customHeight="1">
      <c r="D914" s="104"/>
      <c r="F914" s="121"/>
    </row>
    <row r="915" ht="15.75" customHeight="1">
      <c r="D915" s="104"/>
      <c r="F915" s="121"/>
    </row>
    <row r="916" ht="15.75" customHeight="1">
      <c r="D916" s="104"/>
      <c r="F916" s="121"/>
    </row>
    <row r="917" ht="15.75" customHeight="1">
      <c r="D917" s="104"/>
      <c r="F917" s="121"/>
    </row>
    <row r="918" ht="15.75" customHeight="1">
      <c r="D918" s="104"/>
      <c r="F918" s="121"/>
    </row>
    <row r="919" ht="15.75" customHeight="1">
      <c r="D919" s="104"/>
      <c r="F919" s="121"/>
    </row>
    <row r="920" ht="15.75" customHeight="1">
      <c r="D920" s="104"/>
      <c r="F920" s="121"/>
    </row>
    <row r="921" ht="15.75" customHeight="1">
      <c r="D921" s="104"/>
      <c r="F921" s="121"/>
    </row>
    <row r="922" ht="15.75" customHeight="1">
      <c r="D922" s="104"/>
      <c r="F922" s="121"/>
    </row>
    <row r="923" ht="15.75" customHeight="1">
      <c r="D923" s="104"/>
      <c r="F923" s="121"/>
    </row>
    <row r="924" ht="15.75" customHeight="1">
      <c r="D924" s="104"/>
      <c r="F924" s="121"/>
    </row>
    <row r="925" ht="15.75" customHeight="1">
      <c r="D925" s="104"/>
      <c r="F925" s="121"/>
    </row>
    <row r="926" ht="15.75" customHeight="1">
      <c r="D926" s="104"/>
      <c r="F926" s="121"/>
    </row>
    <row r="927" ht="15.75" customHeight="1">
      <c r="D927" s="104"/>
      <c r="F927" s="121"/>
    </row>
    <row r="928" ht="15.75" customHeight="1">
      <c r="D928" s="104"/>
      <c r="F928" s="121"/>
    </row>
    <row r="929" ht="15.75" customHeight="1">
      <c r="D929" s="104"/>
      <c r="F929" s="121"/>
    </row>
    <row r="930" ht="15.75" customHeight="1">
      <c r="D930" s="104"/>
      <c r="F930" s="121"/>
    </row>
    <row r="931" ht="15.75" customHeight="1">
      <c r="D931" s="104"/>
      <c r="F931" s="121"/>
    </row>
    <row r="932" ht="15.75" customHeight="1">
      <c r="D932" s="104"/>
      <c r="F932" s="121"/>
    </row>
    <row r="933" ht="15.75" customHeight="1">
      <c r="D933" s="104"/>
      <c r="F933" s="121"/>
    </row>
    <row r="934" ht="15.75" customHeight="1">
      <c r="D934" s="104"/>
      <c r="F934" s="121"/>
    </row>
    <row r="935" ht="15.75" customHeight="1">
      <c r="D935" s="104"/>
      <c r="F935" s="121"/>
    </row>
    <row r="936" ht="15.75" customHeight="1">
      <c r="D936" s="104"/>
      <c r="F936" s="121"/>
    </row>
    <row r="937" ht="15.75" customHeight="1">
      <c r="D937" s="104"/>
      <c r="F937" s="121"/>
    </row>
    <row r="938" ht="15.75" customHeight="1">
      <c r="D938" s="104"/>
      <c r="F938" s="121"/>
    </row>
    <row r="939" ht="15.75" customHeight="1">
      <c r="D939" s="104"/>
      <c r="F939" s="121"/>
    </row>
    <row r="940" ht="15.75" customHeight="1">
      <c r="D940" s="104"/>
      <c r="F940" s="121"/>
    </row>
    <row r="941" ht="15.75" customHeight="1">
      <c r="D941" s="104"/>
      <c r="F941" s="121"/>
    </row>
    <row r="942" ht="15.75" customHeight="1">
      <c r="D942" s="104"/>
      <c r="F942" s="121"/>
    </row>
    <row r="943" ht="15.75" customHeight="1">
      <c r="D943" s="104"/>
      <c r="F943" s="121"/>
    </row>
    <row r="944" ht="15.75" customHeight="1">
      <c r="D944" s="104"/>
      <c r="F944" s="121"/>
    </row>
    <row r="945" ht="15.75" customHeight="1">
      <c r="D945" s="104"/>
      <c r="F945" s="121"/>
    </row>
    <row r="946" ht="15.75" customHeight="1">
      <c r="D946" s="104"/>
      <c r="F946" s="121"/>
    </row>
    <row r="947" ht="15.75" customHeight="1">
      <c r="D947" s="104"/>
      <c r="F947" s="121"/>
    </row>
    <row r="948" ht="15.75" customHeight="1">
      <c r="D948" s="104"/>
      <c r="F948" s="121"/>
    </row>
    <row r="949" ht="15.75" customHeight="1">
      <c r="D949" s="104"/>
      <c r="F949" s="121"/>
    </row>
    <row r="950" ht="15.75" customHeight="1">
      <c r="D950" s="104"/>
      <c r="F950" s="121"/>
    </row>
    <row r="951" ht="15.75" customHeight="1">
      <c r="D951" s="104"/>
      <c r="F951" s="121"/>
    </row>
    <row r="952" ht="15.75" customHeight="1">
      <c r="D952" s="104"/>
      <c r="F952" s="121"/>
    </row>
    <row r="953" ht="15.75" customHeight="1">
      <c r="D953" s="104"/>
      <c r="F953" s="121"/>
    </row>
    <row r="954" ht="15.75" customHeight="1">
      <c r="D954" s="104"/>
      <c r="F954" s="121"/>
    </row>
    <row r="955" ht="15.75" customHeight="1">
      <c r="D955" s="104"/>
      <c r="F955" s="121"/>
    </row>
    <row r="956" ht="15.75" customHeight="1">
      <c r="D956" s="104"/>
      <c r="F956" s="121"/>
    </row>
    <row r="957" ht="15.75" customHeight="1">
      <c r="D957" s="104"/>
      <c r="F957" s="121"/>
    </row>
    <row r="958" ht="15.75" customHeight="1">
      <c r="D958" s="104"/>
      <c r="F958" s="121"/>
    </row>
    <row r="959" ht="15.75" customHeight="1">
      <c r="D959" s="104"/>
      <c r="F959" s="121"/>
    </row>
    <row r="960" ht="15.75" customHeight="1">
      <c r="D960" s="104"/>
      <c r="F960" s="121"/>
    </row>
    <row r="961" ht="15.75" customHeight="1">
      <c r="D961" s="104"/>
      <c r="F961" s="121"/>
    </row>
    <row r="962" ht="15.75" customHeight="1">
      <c r="D962" s="104"/>
      <c r="F962" s="121"/>
    </row>
    <row r="963" ht="15.75" customHeight="1">
      <c r="D963" s="104"/>
      <c r="F963" s="121"/>
    </row>
    <row r="964" ht="15.75" customHeight="1">
      <c r="D964" s="104"/>
      <c r="F964" s="121"/>
    </row>
    <row r="965" ht="15.75" customHeight="1">
      <c r="D965" s="104"/>
      <c r="F965" s="121"/>
    </row>
    <row r="966" ht="15.75" customHeight="1">
      <c r="D966" s="104"/>
      <c r="F966" s="121"/>
    </row>
    <row r="967" ht="15.75" customHeight="1">
      <c r="D967" s="104"/>
      <c r="F967" s="121"/>
    </row>
    <row r="968" ht="15.75" customHeight="1">
      <c r="D968" s="104"/>
      <c r="F968" s="121"/>
    </row>
    <row r="969" ht="15.75" customHeight="1">
      <c r="D969" s="104"/>
      <c r="F969" s="121"/>
    </row>
    <row r="970" ht="15.75" customHeight="1">
      <c r="D970" s="104"/>
      <c r="F970" s="121"/>
    </row>
    <row r="971" ht="15.75" customHeight="1">
      <c r="D971" s="104"/>
      <c r="F971" s="121"/>
    </row>
    <row r="972" ht="15.75" customHeight="1">
      <c r="D972" s="104"/>
      <c r="F972" s="121"/>
    </row>
    <row r="973" ht="15.75" customHeight="1">
      <c r="D973" s="104"/>
      <c r="F973" s="121"/>
    </row>
    <row r="974" ht="15.75" customHeight="1">
      <c r="D974" s="104"/>
      <c r="F974" s="121"/>
    </row>
    <row r="975" ht="15.75" customHeight="1">
      <c r="D975" s="104"/>
      <c r="F975" s="121"/>
    </row>
    <row r="976" ht="15.75" customHeight="1">
      <c r="D976" s="104"/>
      <c r="F976" s="121"/>
    </row>
    <row r="977" ht="15.75" customHeight="1">
      <c r="D977" s="104"/>
      <c r="F977" s="121"/>
    </row>
    <row r="978" ht="15.75" customHeight="1">
      <c r="D978" s="104"/>
      <c r="F978" s="121"/>
    </row>
    <row r="979" ht="15.75" customHeight="1">
      <c r="D979" s="104"/>
      <c r="F979" s="121"/>
    </row>
    <row r="980" ht="15.75" customHeight="1">
      <c r="D980" s="104"/>
      <c r="F980" s="121"/>
    </row>
    <row r="981" ht="15.75" customHeight="1">
      <c r="D981" s="104"/>
      <c r="F981" s="121"/>
    </row>
    <row r="982" ht="15.75" customHeight="1">
      <c r="D982" s="104"/>
      <c r="F982" s="121"/>
    </row>
    <row r="983" ht="15.75" customHeight="1">
      <c r="D983" s="104"/>
      <c r="F983" s="121"/>
    </row>
    <row r="984" ht="15.75" customHeight="1">
      <c r="D984" s="104"/>
      <c r="F984" s="121"/>
    </row>
    <row r="985" ht="15.75" customHeight="1">
      <c r="D985" s="104"/>
      <c r="F985" s="121"/>
    </row>
    <row r="986" ht="15.75" customHeight="1">
      <c r="D986" s="104"/>
      <c r="F986" s="121"/>
    </row>
    <row r="987" ht="15.75" customHeight="1">
      <c r="D987" s="104"/>
      <c r="F987" s="121"/>
    </row>
    <row r="988" ht="15.75" customHeight="1">
      <c r="D988" s="104"/>
      <c r="F988" s="121"/>
    </row>
    <row r="989" ht="15.75" customHeight="1">
      <c r="D989" s="104"/>
      <c r="F989" s="121"/>
    </row>
    <row r="990" ht="15.75" customHeight="1">
      <c r="D990" s="104"/>
      <c r="F990" s="121"/>
    </row>
    <row r="991" ht="15.75" customHeight="1">
      <c r="D991" s="104"/>
      <c r="F991" s="121"/>
    </row>
    <row r="992" ht="15.75" customHeight="1">
      <c r="D992" s="104"/>
      <c r="F992" s="121"/>
    </row>
    <row r="993" ht="15.75" customHeight="1">
      <c r="D993" s="104"/>
      <c r="F993" s="121"/>
    </row>
    <row r="994" ht="15.75" customHeight="1">
      <c r="D994" s="104"/>
      <c r="F994" s="121"/>
    </row>
    <row r="995" ht="15.75" customHeight="1">
      <c r="D995" s="104"/>
      <c r="F995" s="121"/>
    </row>
    <row r="996" ht="15.75" customHeight="1">
      <c r="D996" s="104"/>
      <c r="F996" s="121"/>
    </row>
    <row r="997" ht="15.75" customHeight="1">
      <c r="D997" s="104"/>
      <c r="F997" s="121"/>
    </row>
    <row r="998" ht="15.75" customHeight="1">
      <c r="D998" s="104"/>
      <c r="F998" s="121"/>
    </row>
    <row r="999" ht="15.75" customHeight="1">
      <c r="D999" s="104"/>
      <c r="F999" s="121"/>
    </row>
    <row r="1000" ht="15.75" customHeight="1">
      <c r="D1000" s="104"/>
      <c r="F1000" s="121"/>
    </row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24" t="s">
        <v>187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23">
        <v>46241.0</v>
      </c>
      <c r="B4" s="31"/>
      <c r="C4" s="33"/>
      <c r="D4" s="38"/>
      <c r="E4" s="40">
        <v>3936.0</v>
      </c>
      <c r="F4" s="114">
        <v>48.0</v>
      </c>
    </row>
    <row r="5">
      <c r="A5" s="136">
        <v>46241.0</v>
      </c>
      <c r="B5" s="137" t="s">
        <v>32</v>
      </c>
      <c r="C5" s="138"/>
      <c r="D5" s="139">
        <v>240.0</v>
      </c>
      <c r="E5" s="58">
        <f t="shared" ref="E5:E51" si="1">E4-D5+C5</f>
        <v>3696</v>
      </c>
      <c r="F5" s="59">
        <f>E5/F4</f>
        <v>77</v>
      </c>
    </row>
    <row r="6">
      <c r="A6" s="136">
        <v>46245.0</v>
      </c>
      <c r="B6" s="140" t="s">
        <v>26</v>
      </c>
      <c r="C6" s="138"/>
      <c r="D6" s="139">
        <v>48.0</v>
      </c>
      <c r="E6" s="58">
        <f t="shared" si="1"/>
        <v>3648</v>
      </c>
      <c r="F6" s="59">
        <f>E6/F4</f>
        <v>76</v>
      </c>
    </row>
    <row r="7">
      <c r="A7" s="141"/>
      <c r="B7" s="53" t="s">
        <v>28</v>
      </c>
      <c r="C7" s="58"/>
      <c r="D7" s="139">
        <v>48.0</v>
      </c>
      <c r="E7" s="58">
        <f t="shared" si="1"/>
        <v>3600</v>
      </c>
      <c r="F7" s="59">
        <f>E7/F4</f>
        <v>75</v>
      </c>
    </row>
    <row r="8">
      <c r="A8" s="141"/>
      <c r="B8" s="142"/>
      <c r="C8" s="58"/>
      <c r="D8" s="52"/>
      <c r="E8" s="58">
        <f t="shared" si="1"/>
        <v>3600</v>
      </c>
      <c r="F8" s="59">
        <f>E8/F4</f>
        <v>75</v>
      </c>
    </row>
    <row r="9">
      <c r="A9" s="141"/>
      <c r="B9" s="142"/>
      <c r="C9" s="58"/>
      <c r="D9" s="52"/>
      <c r="E9" s="58">
        <f t="shared" si="1"/>
        <v>3600</v>
      </c>
      <c r="F9" s="59">
        <f>E9/F4</f>
        <v>75</v>
      </c>
    </row>
    <row r="10">
      <c r="A10" s="141"/>
      <c r="B10" s="142"/>
      <c r="C10" s="58"/>
      <c r="D10" s="52"/>
      <c r="E10" s="58">
        <f t="shared" si="1"/>
        <v>3600</v>
      </c>
      <c r="F10" s="59">
        <f>E10/F4</f>
        <v>75</v>
      </c>
    </row>
    <row r="11">
      <c r="A11" s="141"/>
      <c r="B11" s="142"/>
      <c r="C11" s="58"/>
      <c r="D11" s="52"/>
      <c r="E11" s="58">
        <f t="shared" si="1"/>
        <v>3600</v>
      </c>
      <c r="F11" s="59">
        <f>E11/F4</f>
        <v>75</v>
      </c>
    </row>
    <row r="12">
      <c r="A12" s="141"/>
      <c r="B12" s="142"/>
      <c r="C12" s="58"/>
      <c r="D12" s="52"/>
      <c r="E12" s="58">
        <f t="shared" si="1"/>
        <v>3600</v>
      </c>
      <c r="F12" s="59">
        <f>E12/F4</f>
        <v>75</v>
      </c>
    </row>
    <row r="13">
      <c r="A13" s="141"/>
      <c r="B13" s="142"/>
      <c r="C13" s="58"/>
      <c r="D13" s="52"/>
      <c r="E13" s="58">
        <f t="shared" si="1"/>
        <v>3600</v>
      </c>
      <c r="F13" s="59">
        <f>E13/F4</f>
        <v>75</v>
      </c>
    </row>
    <row r="14">
      <c r="A14" s="141"/>
      <c r="B14" s="142"/>
      <c r="C14" s="58"/>
      <c r="D14" s="52"/>
      <c r="E14" s="58">
        <f t="shared" si="1"/>
        <v>3600</v>
      </c>
      <c r="F14" s="59">
        <f>E14/F4</f>
        <v>75</v>
      </c>
    </row>
    <row r="15">
      <c r="A15" s="141"/>
      <c r="B15" s="143"/>
      <c r="C15" s="69"/>
      <c r="D15" s="52"/>
      <c r="E15" s="58">
        <f t="shared" si="1"/>
        <v>3600</v>
      </c>
      <c r="F15" s="59">
        <f>E15/F4</f>
        <v>75</v>
      </c>
    </row>
    <row r="16">
      <c r="A16" s="141"/>
      <c r="B16" s="143"/>
      <c r="C16" s="69"/>
      <c r="D16" s="52"/>
      <c r="E16" s="58">
        <f t="shared" si="1"/>
        <v>3600</v>
      </c>
      <c r="F16" s="59">
        <f>E16/F4</f>
        <v>75</v>
      </c>
    </row>
    <row r="17">
      <c r="A17" s="141"/>
      <c r="B17" s="143"/>
      <c r="C17" s="69"/>
      <c r="D17" s="52"/>
      <c r="E17" s="58">
        <f t="shared" si="1"/>
        <v>3600</v>
      </c>
      <c r="F17" s="59">
        <f>E17/F4</f>
        <v>75</v>
      </c>
    </row>
    <row r="18">
      <c r="A18" s="141"/>
      <c r="B18" s="143"/>
      <c r="C18" s="69"/>
      <c r="D18" s="52"/>
      <c r="E18" s="58">
        <f t="shared" si="1"/>
        <v>3600</v>
      </c>
      <c r="F18" s="59">
        <f>E18/F4</f>
        <v>75</v>
      </c>
    </row>
    <row r="19">
      <c r="A19" s="141"/>
      <c r="B19" s="143"/>
      <c r="C19" s="69"/>
      <c r="D19" s="52"/>
      <c r="E19" s="58">
        <f t="shared" si="1"/>
        <v>3600</v>
      </c>
      <c r="F19" s="59">
        <f>E19/F4</f>
        <v>75</v>
      </c>
    </row>
    <row r="20">
      <c r="A20" s="141"/>
      <c r="B20" s="143"/>
      <c r="C20" s="69"/>
      <c r="D20" s="119"/>
      <c r="E20" s="58">
        <f t="shared" si="1"/>
        <v>3600</v>
      </c>
      <c r="F20" s="59">
        <f>E20/F4</f>
        <v>75</v>
      </c>
    </row>
    <row r="21" ht="15.75" customHeight="1">
      <c r="A21" s="141"/>
      <c r="B21" s="143"/>
      <c r="C21" s="69"/>
      <c r="D21" s="119"/>
      <c r="E21" s="58">
        <f t="shared" si="1"/>
        <v>3600</v>
      </c>
      <c r="F21" s="59">
        <f>E21/F4</f>
        <v>75</v>
      </c>
    </row>
    <row r="22" ht="15.75" customHeight="1">
      <c r="A22" s="141"/>
      <c r="B22" s="143"/>
      <c r="C22" s="69"/>
      <c r="D22" s="119"/>
      <c r="E22" s="58">
        <f t="shared" si="1"/>
        <v>3600</v>
      </c>
      <c r="F22" s="59">
        <f>E22/F4</f>
        <v>75</v>
      </c>
    </row>
    <row r="23" ht="15.75" customHeight="1">
      <c r="A23" s="141"/>
      <c r="B23" s="143"/>
      <c r="C23" s="69"/>
      <c r="D23" s="119"/>
      <c r="E23" s="58">
        <f t="shared" si="1"/>
        <v>3600</v>
      </c>
      <c r="F23" s="59">
        <f>E23/F4</f>
        <v>75</v>
      </c>
    </row>
    <row r="24" ht="15.75" customHeight="1">
      <c r="A24" s="141"/>
      <c r="B24" s="143"/>
      <c r="C24" s="69"/>
      <c r="D24" s="119"/>
      <c r="E24" s="58">
        <f t="shared" si="1"/>
        <v>3600</v>
      </c>
      <c r="F24" s="59">
        <f>E24/F4</f>
        <v>75</v>
      </c>
    </row>
    <row r="25" ht="15.75" customHeight="1">
      <c r="A25" s="141"/>
      <c r="B25" s="143"/>
      <c r="C25" s="69"/>
      <c r="D25" s="119"/>
      <c r="E25" s="58">
        <f t="shared" si="1"/>
        <v>3600</v>
      </c>
      <c r="F25" s="59">
        <f>E25/F4</f>
        <v>75</v>
      </c>
    </row>
    <row r="26" ht="15.75" customHeight="1">
      <c r="A26" s="141"/>
      <c r="B26" s="143"/>
      <c r="C26" s="69"/>
      <c r="D26" s="119"/>
      <c r="E26" s="58">
        <f t="shared" si="1"/>
        <v>3600</v>
      </c>
      <c r="F26" s="59">
        <f>E26/F4</f>
        <v>75</v>
      </c>
    </row>
    <row r="27" ht="15.75" customHeight="1">
      <c r="A27" s="141"/>
      <c r="B27" s="143"/>
      <c r="C27" s="69"/>
      <c r="D27" s="119"/>
      <c r="E27" s="58">
        <f t="shared" si="1"/>
        <v>3600</v>
      </c>
      <c r="F27" s="59">
        <f>E27/F4</f>
        <v>75</v>
      </c>
    </row>
    <row r="28" ht="15.75" customHeight="1">
      <c r="A28" s="141"/>
      <c r="B28" s="143"/>
      <c r="C28" s="69"/>
      <c r="D28" s="119"/>
      <c r="E28" s="58">
        <f t="shared" si="1"/>
        <v>3600</v>
      </c>
      <c r="F28" s="59">
        <f>E28/F4</f>
        <v>75</v>
      </c>
    </row>
    <row r="29" ht="15.75" customHeight="1">
      <c r="A29" s="141"/>
      <c r="B29" s="143"/>
      <c r="C29" s="69"/>
      <c r="D29" s="119"/>
      <c r="E29" s="58">
        <f t="shared" si="1"/>
        <v>3600</v>
      </c>
      <c r="F29" s="59">
        <f>E29/F4</f>
        <v>75</v>
      </c>
    </row>
    <row r="30" ht="15.75" customHeight="1">
      <c r="A30" s="141"/>
      <c r="B30" s="143"/>
      <c r="C30" s="69"/>
      <c r="D30" s="119"/>
      <c r="E30" s="58">
        <f t="shared" si="1"/>
        <v>3600</v>
      </c>
      <c r="F30" s="59">
        <f>E30/F4</f>
        <v>75</v>
      </c>
    </row>
    <row r="31" ht="15.75" customHeight="1">
      <c r="A31" s="141"/>
      <c r="B31" s="143"/>
      <c r="C31" s="69"/>
      <c r="D31" s="119"/>
      <c r="E31" s="58">
        <f t="shared" si="1"/>
        <v>3600</v>
      </c>
      <c r="F31" s="59">
        <f>E31/F4</f>
        <v>75</v>
      </c>
    </row>
    <row r="32" ht="15.75" customHeight="1">
      <c r="A32" s="141"/>
      <c r="B32" s="143"/>
      <c r="C32" s="69"/>
      <c r="D32" s="119"/>
      <c r="E32" s="58">
        <f t="shared" si="1"/>
        <v>3600</v>
      </c>
      <c r="F32" s="59">
        <f>E32/F4</f>
        <v>75</v>
      </c>
    </row>
    <row r="33" ht="15.75" customHeight="1">
      <c r="A33" s="141"/>
      <c r="B33" s="143"/>
      <c r="C33" s="69"/>
      <c r="D33" s="119"/>
      <c r="E33" s="58">
        <f t="shared" si="1"/>
        <v>3600</v>
      </c>
      <c r="F33" s="59">
        <f>E33/F4</f>
        <v>75</v>
      </c>
    </row>
    <row r="34" ht="15.75" customHeight="1">
      <c r="A34" s="141"/>
      <c r="B34" s="143"/>
      <c r="C34" s="69"/>
      <c r="D34" s="119"/>
      <c r="E34" s="58">
        <f t="shared" si="1"/>
        <v>3600</v>
      </c>
      <c r="F34" s="59">
        <f>E34/F4</f>
        <v>75</v>
      </c>
    </row>
    <row r="35" ht="15.75" customHeight="1">
      <c r="A35" s="141"/>
      <c r="B35" s="143"/>
      <c r="C35" s="69"/>
      <c r="D35" s="119"/>
      <c r="E35" s="58">
        <f t="shared" si="1"/>
        <v>3600</v>
      </c>
      <c r="F35" s="59">
        <f>E35/F4</f>
        <v>75</v>
      </c>
    </row>
    <row r="36" ht="15.75" customHeight="1">
      <c r="A36" s="141"/>
      <c r="B36" s="143"/>
      <c r="C36" s="69"/>
      <c r="D36" s="119"/>
      <c r="E36" s="58">
        <f t="shared" si="1"/>
        <v>3600</v>
      </c>
      <c r="F36" s="59">
        <f>E36/F4</f>
        <v>75</v>
      </c>
    </row>
    <row r="37" ht="15.75" customHeight="1">
      <c r="A37" s="141"/>
      <c r="B37" s="143"/>
      <c r="C37" s="69"/>
      <c r="D37" s="119"/>
      <c r="E37" s="58">
        <f t="shared" si="1"/>
        <v>3600</v>
      </c>
      <c r="F37" s="59">
        <f>E37/F4</f>
        <v>75</v>
      </c>
    </row>
    <row r="38" ht="15.75" customHeight="1">
      <c r="A38" s="141"/>
      <c r="B38" s="143"/>
      <c r="C38" s="69"/>
      <c r="D38" s="119"/>
      <c r="E38" s="58">
        <f t="shared" si="1"/>
        <v>3600</v>
      </c>
      <c r="F38" s="59">
        <f>E38/F4</f>
        <v>75</v>
      </c>
    </row>
    <row r="39" ht="15.75" customHeight="1">
      <c r="A39" s="141"/>
      <c r="B39" s="143"/>
      <c r="C39" s="69"/>
      <c r="D39" s="119"/>
      <c r="E39" s="58">
        <f t="shared" si="1"/>
        <v>3600</v>
      </c>
      <c r="F39" s="59">
        <f>E39/F4</f>
        <v>75</v>
      </c>
    </row>
    <row r="40" ht="15.75" customHeight="1">
      <c r="A40" s="141"/>
      <c r="B40" s="143"/>
      <c r="C40" s="69"/>
      <c r="D40" s="119"/>
      <c r="E40" s="58">
        <f t="shared" si="1"/>
        <v>3600</v>
      </c>
      <c r="F40" s="59">
        <f>E40/F4</f>
        <v>75</v>
      </c>
    </row>
    <row r="41" ht="15.75" customHeight="1">
      <c r="A41" s="141"/>
      <c r="B41" s="143"/>
      <c r="C41" s="69"/>
      <c r="D41" s="119"/>
      <c r="E41" s="58">
        <f t="shared" si="1"/>
        <v>3600</v>
      </c>
      <c r="F41" s="59">
        <f>E41/F4</f>
        <v>75</v>
      </c>
    </row>
    <row r="42" ht="15.75" customHeight="1">
      <c r="A42" s="141"/>
      <c r="B42" s="143"/>
      <c r="C42" s="69"/>
      <c r="D42" s="119"/>
      <c r="E42" s="58">
        <f t="shared" si="1"/>
        <v>3600</v>
      </c>
      <c r="F42" s="59">
        <f>E42/F4</f>
        <v>75</v>
      </c>
    </row>
    <row r="43" ht="15.75" customHeight="1">
      <c r="A43" s="141"/>
      <c r="B43" s="143"/>
      <c r="C43" s="69"/>
      <c r="D43" s="119"/>
      <c r="E43" s="58">
        <f t="shared" si="1"/>
        <v>3600</v>
      </c>
      <c r="F43" s="59">
        <f>E43/F4</f>
        <v>75</v>
      </c>
    </row>
    <row r="44" ht="15.75" customHeight="1">
      <c r="A44" s="141"/>
      <c r="B44" s="143"/>
      <c r="C44" s="69"/>
      <c r="D44" s="119"/>
      <c r="E44" s="58">
        <f t="shared" si="1"/>
        <v>3600</v>
      </c>
      <c r="F44" s="59">
        <f>E44/F4</f>
        <v>75</v>
      </c>
    </row>
    <row r="45" ht="15.75" customHeight="1">
      <c r="A45" s="141"/>
      <c r="B45" s="143"/>
      <c r="C45" s="69"/>
      <c r="D45" s="119"/>
      <c r="E45" s="58">
        <f t="shared" si="1"/>
        <v>3600</v>
      </c>
      <c r="F45" s="59">
        <f>E45/F4</f>
        <v>75</v>
      </c>
    </row>
    <row r="46" ht="15.75" customHeight="1">
      <c r="A46" s="141"/>
      <c r="B46" s="143"/>
      <c r="C46" s="69"/>
      <c r="D46" s="119"/>
      <c r="E46" s="58">
        <f t="shared" si="1"/>
        <v>3600</v>
      </c>
      <c r="F46" s="59">
        <f>E46/F4</f>
        <v>75</v>
      </c>
    </row>
    <row r="47" ht="15.75" customHeight="1">
      <c r="A47" s="141"/>
      <c r="B47" s="143"/>
      <c r="C47" s="69"/>
      <c r="D47" s="119"/>
      <c r="E47" s="58">
        <f t="shared" si="1"/>
        <v>3600</v>
      </c>
      <c r="F47" s="59">
        <f>E47/F4</f>
        <v>75</v>
      </c>
    </row>
    <row r="48" ht="15.75" customHeight="1">
      <c r="A48" s="141"/>
      <c r="B48" s="143"/>
      <c r="C48" s="69"/>
      <c r="D48" s="119"/>
      <c r="E48" s="58">
        <f t="shared" si="1"/>
        <v>3600</v>
      </c>
      <c r="F48" s="59">
        <f>E48/F4</f>
        <v>75</v>
      </c>
    </row>
    <row r="49" ht="15.75" customHeight="1">
      <c r="A49" s="141"/>
      <c r="B49" s="143"/>
      <c r="C49" s="69"/>
      <c r="D49" s="119"/>
      <c r="E49" s="58">
        <f t="shared" si="1"/>
        <v>3600</v>
      </c>
      <c r="F49" s="59">
        <f>E49/F4</f>
        <v>75</v>
      </c>
    </row>
    <row r="50" ht="15.75" customHeight="1">
      <c r="A50" s="141"/>
      <c r="B50" s="143"/>
      <c r="C50" s="69"/>
      <c r="D50" s="119"/>
      <c r="E50" s="58">
        <f t="shared" si="1"/>
        <v>3600</v>
      </c>
      <c r="F50" s="59">
        <f>E50/F4</f>
        <v>75</v>
      </c>
    </row>
    <row r="51" ht="15.75" customHeight="1">
      <c r="A51" s="143"/>
      <c r="B51" s="143"/>
      <c r="C51" s="69"/>
      <c r="D51" s="119"/>
      <c r="E51" s="58">
        <f t="shared" si="1"/>
        <v>3600</v>
      </c>
      <c r="F51" s="59">
        <f>E51/F4</f>
        <v>75</v>
      </c>
    </row>
    <row r="52" ht="15.75" customHeight="1">
      <c r="A52" s="101"/>
      <c r="B52" s="101"/>
      <c r="D52" s="104"/>
      <c r="F52" s="121"/>
    </row>
    <row r="53" ht="15.75" customHeight="1">
      <c r="A53" s="101"/>
      <c r="B53" s="101"/>
      <c r="D53" s="104"/>
      <c r="F53" s="121"/>
    </row>
    <row r="54" ht="15.75" customHeight="1">
      <c r="A54" s="101"/>
      <c r="B54" s="101"/>
      <c r="D54" s="104"/>
      <c r="F54" s="121"/>
    </row>
    <row r="55" ht="15.75" customHeight="1">
      <c r="A55" s="101"/>
      <c r="B55" s="101"/>
      <c r="D55" s="104"/>
      <c r="F55" s="121"/>
    </row>
    <row r="56" ht="15.75" customHeight="1">
      <c r="A56" s="101"/>
      <c r="B56" s="101"/>
      <c r="D56" s="104"/>
      <c r="F56" s="121"/>
    </row>
    <row r="57" ht="15.75" customHeight="1">
      <c r="A57" s="101"/>
      <c r="B57" s="101"/>
      <c r="D57" s="104"/>
      <c r="F57" s="121"/>
    </row>
    <row r="58" ht="15.75" customHeight="1">
      <c r="A58" s="101"/>
      <c r="B58" s="101"/>
      <c r="D58" s="104"/>
      <c r="F58" s="121"/>
    </row>
    <row r="59" ht="15.75" customHeight="1">
      <c r="A59" s="101"/>
      <c r="B59" s="101"/>
      <c r="D59" s="104"/>
      <c r="F59" s="121"/>
    </row>
    <row r="60" ht="15.75" customHeight="1">
      <c r="A60" s="101"/>
      <c r="B60" s="101"/>
      <c r="D60" s="104"/>
      <c r="F60" s="121"/>
    </row>
    <row r="61" ht="15.75" customHeight="1">
      <c r="A61" s="101"/>
      <c r="B61" s="101"/>
      <c r="D61" s="104"/>
      <c r="F61" s="121"/>
    </row>
    <row r="62" ht="15.75" customHeight="1">
      <c r="D62" s="104"/>
      <c r="F62" s="121"/>
    </row>
    <row r="63" ht="15.75" customHeight="1">
      <c r="D63" s="104"/>
      <c r="F63" s="121"/>
    </row>
    <row r="64" ht="15.75" customHeight="1">
      <c r="D64" s="104"/>
      <c r="F64" s="121"/>
    </row>
    <row r="65" ht="15.75" customHeight="1">
      <c r="D65" s="104"/>
      <c r="F65" s="121"/>
    </row>
    <row r="66" ht="15.75" customHeight="1">
      <c r="D66" s="104"/>
      <c r="F66" s="121"/>
    </row>
    <row r="67" ht="15.75" customHeight="1">
      <c r="D67" s="104"/>
      <c r="F67" s="121"/>
    </row>
    <row r="68" ht="15.75" customHeight="1">
      <c r="D68" s="104"/>
      <c r="F68" s="121"/>
    </row>
    <row r="69" ht="15.75" customHeight="1">
      <c r="D69" s="104"/>
      <c r="F69" s="121"/>
    </row>
    <row r="70" ht="15.75" customHeight="1">
      <c r="D70" s="104"/>
      <c r="F70" s="121"/>
    </row>
    <row r="71" ht="15.75" customHeight="1">
      <c r="D71" s="104"/>
      <c r="F71" s="121"/>
    </row>
    <row r="72" ht="15.75" customHeight="1">
      <c r="D72" s="104"/>
      <c r="F72" s="121"/>
    </row>
    <row r="73" ht="15.75" customHeight="1">
      <c r="D73" s="104"/>
      <c r="F73" s="121"/>
    </row>
    <row r="74" ht="15.75" customHeight="1">
      <c r="D74" s="104"/>
      <c r="F74" s="121"/>
    </row>
    <row r="75" ht="15.75" customHeight="1">
      <c r="D75" s="104"/>
      <c r="F75" s="121"/>
    </row>
    <row r="76" ht="15.75" customHeight="1">
      <c r="D76" s="104"/>
      <c r="F76" s="121"/>
    </row>
    <row r="77" ht="15.75" customHeight="1">
      <c r="D77" s="104"/>
      <c r="F77" s="121"/>
    </row>
    <row r="78" ht="15.75" customHeight="1">
      <c r="D78" s="104"/>
      <c r="F78" s="121"/>
    </row>
    <row r="79" ht="15.75" customHeight="1">
      <c r="D79" s="104"/>
      <c r="F79" s="121"/>
    </row>
    <row r="80" ht="15.75" customHeight="1">
      <c r="D80" s="104"/>
      <c r="F80" s="121"/>
    </row>
    <row r="81" ht="15.75" customHeight="1">
      <c r="D81" s="104"/>
      <c r="F81" s="121"/>
    </row>
    <row r="82" ht="15.75" customHeight="1">
      <c r="D82" s="104"/>
      <c r="F82" s="121"/>
    </row>
    <row r="83" ht="15.75" customHeight="1">
      <c r="D83" s="104"/>
      <c r="F83" s="121"/>
    </row>
    <row r="84" ht="15.75" customHeight="1">
      <c r="D84" s="104"/>
      <c r="F84" s="121"/>
    </row>
    <row r="85" ht="15.75" customHeight="1">
      <c r="D85" s="104"/>
      <c r="F85" s="121"/>
    </row>
    <row r="86" ht="15.75" customHeight="1">
      <c r="D86" s="104"/>
      <c r="F86" s="121"/>
    </row>
    <row r="87" ht="15.75" customHeight="1">
      <c r="D87" s="104"/>
      <c r="F87" s="121"/>
    </row>
    <row r="88" ht="15.75" customHeight="1">
      <c r="D88" s="104"/>
      <c r="F88" s="121"/>
    </row>
    <row r="89" ht="15.75" customHeight="1">
      <c r="D89" s="104"/>
      <c r="F89" s="121"/>
    </row>
    <row r="90" ht="15.75" customHeight="1">
      <c r="D90" s="104"/>
      <c r="F90" s="121"/>
    </row>
    <row r="91" ht="15.75" customHeight="1">
      <c r="D91" s="104"/>
      <c r="F91" s="121"/>
    </row>
    <row r="92" ht="15.75" customHeight="1">
      <c r="D92" s="104"/>
      <c r="F92" s="121"/>
    </row>
    <row r="93" ht="15.75" customHeight="1">
      <c r="D93" s="104"/>
      <c r="F93" s="121"/>
    </row>
    <row r="94" ht="15.75" customHeight="1">
      <c r="D94" s="104"/>
      <c r="F94" s="121"/>
    </row>
    <row r="95" ht="15.75" customHeight="1">
      <c r="D95" s="104"/>
      <c r="F95" s="121"/>
    </row>
    <row r="96" ht="15.75" customHeight="1">
      <c r="D96" s="104"/>
      <c r="F96" s="121"/>
    </row>
    <row r="97" ht="15.75" customHeight="1">
      <c r="D97" s="104"/>
      <c r="F97" s="121"/>
    </row>
    <row r="98" ht="15.75" customHeight="1">
      <c r="D98" s="104"/>
      <c r="F98" s="121"/>
    </row>
    <row r="99" ht="15.75" customHeight="1">
      <c r="D99" s="104"/>
      <c r="F99" s="121"/>
    </row>
    <row r="100" ht="15.75" customHeight="1">
      <c r="D100" s="104"/>
      <c r="F100" s="121"/>
    </row>
    <row r="101" ht="15.75" customHeight="1">
      <c r="D101" s="104"/>
      <c r="F101" s="121"/>
    </row>
    <row r="102" ht="15.75" customHeight="1">
      <c r="D102" s="104"/>
      <c r="F102" s="121"/>
    </row>
    <row r="103" ht="15.75" customHeight="1">
      <c r="D103" s="104"/>
      <c r="F103" s="121"/>
    </row>
    <row r="104" ht="15.75" customHeight="1">
      <c r="D104" s="104"/>
      <c r="F104" s="121"/>
    </row>
    <row r="105" ht="15.75" customHeight="1">
      <c r="D105" s="104"/>
      <c r="F105" s="121"/>
    </row>
    <row r="106" ht="15.75" customHeight="1">
      <c r="D106" s="104"/>
      <c r="F106" s="121"/>
    </row>
    <row r="107" ht="15.75" customHeight="1">
      <c r="D107" s="104"/>
      <c r="F107" s="121"/>
    </row>
    <row r="108" ht="15.75" customHeight="1">
      <c r="D108" s="104"/>
      <c r="F108" s="121"/>
    </row>
    <row r="109" ht="15.75" customHeight="1">
      <c r="D109" s="104"/>
      <c r="F109" s="121"/>
    </row>
    <row r="110" ht="15.75" customHeight="1">
      <c r="D110" s="104"/>
      <c r="F110" s="121"/>
    </row>
    <row r="111" ht="15.75" customHeight="1">
      <c r="D111" s="104"/>
      <c r="F111" s="121"/>
    </row>
    <row r="112" ht="15.75" customHeight="1">
      <c r="D112" s="104"/>
      <c r="F112" s="121"/>
    </row>
    <row r="113" ht="15.75" customHeight="1">
      <c r="D113" s="104"/>
      <c r="F113" s="121"/>
    </row>
    <row r="114" ht="15.75" customHeight="1">
      <c r="D114" s="104"/>
      <c r="F114" s="121"/>
    </row>
    <row r="115" ht="15.75" customHeight="1">
      <c r="D115" s="104"/>
      <c r="F115" s="121"/>
    </row>
    <row r="116" ht="15.75" customHeight="1">
      <c r="D116" s="104"/>
      <c r="F116" s="121"/>
    </row>
    <row r="117" ht="15.75" customHeight="1">
      <c r="D117" s="104"/>
      <c r="F117" s="121"/>
    </row>
    <row r="118" ht="15.75" customHeight="1">
      <c r="D118" s="104"/>
      <c r="F118" s="121"/>
    </row>
    <row r="119" ht="15.75" customHeight="1">
      <c r="D119" s="104"/>
      <c r="F119" s="121"/>
    </row>
    <row r="120" ht="15.75" customHeight="1">
      <c r="D120" s="104"/>
      <c r="F120" s="121"/>
    </row>
    <row r="121" ht="15.75" customHeight="1">
      <c r="D121" s="104"/>
      <c r="F121" s="121"/>
    </row>
    <row r="122" ht="15.75" customHeight="1">
      <c r="D122" s="104"/>
      <c r="F122" s="121"/>
    </row>
    <row r="123" ht="15.75" customHeight="1">
      <c r="D123" s="104"/>
      <c r="F123" s="121"/>
    </row>
    <row r="124" ht="15.75" customHeight="1">
      <c r="D124" s="104"/>
      <c r="F124" s="121"/>
    </row>
    <row r="125" ht="15.75" customHeight="1">
      <c r="D125" s="104"/>
      <c r="F125" s="121"/>
    </row>
    <row r="126" ht="15.75" customHeight="1">
      <c r="D126" s="104"/>
      <c r="F126" s="121"/>
    </row>
    <row r="127" ht="15.75" customHeight="1">
      <c r="D127" s="104"/>
      <c r="F127" s="121"/>
    </row>
    <row r="128" ht="15.75" customHeight="1">
      <c r="D128" s="104"/>
      <c r="F128" s="121"/>
    </row>
    <row r="129" ht="15.75" customHeight="1">
      <c r="D129" s="104"/>
      <c r="F129" s="121"/>
    </row>
    <row r="130" ht="15.75" customHeight="1">
      <c r="D130" s="104"/>
      <c r="F130" s="121"/>
    </row>
    <row r="131" ht="15.75" customHeight="1">
      <c r="D131" s="104"/>
      <c r="F131" s="121"/>
    </row>
    <row r="132" ht="15.75" customHeight="1">
      <c r="D132" s="104"/>
      <c r="F132" s="121"/>
    </row>
    <row r="133" ht="15.75" customHeight="1">
      <c r="D133" s="104"/>
      <c r="F133" s="121"/>
    </row>
    <row r="134" ht="15.75" customHeight="1">
      <c r="D134" s="104"/>
      <c r="F134" s="121"/>
    </row>
    <row r="135" ht="15.75" customHeight="1">
      <c r="D135" s="104"/>
      <c r="F135" s="121"/>
    </row>
    <row r="136" ht="15.75" customHeight="1">
      <c r="D136" s="104"/>
      <c r="F136" s="121"/>
    </row>
    <row r="137" ht="15.75" customHeight="1">
      <c r="D137" s="104"/>
      <c r="F137" s="121"/>
    </row>
    <row r="138" ht="15.75" customHeight="1">
      <c r="D138" s="104"/>
      <c r="F138" s="121"/>
    </row>
    <row r="139" ht="15.75" customHeight="1">
      <c r="D139" s="104"/>
      <c r="F139" s="121"/>
    </row>
    <row r="140" ht="15.75" customHeight="1">
      <c r="D140" s="104"/>
      <c r="F140" s="121"/>
    </row>
    <row r="141" ht="15.75" customHeight="1">
      <c r="D141" s="104"/>
      <c r="F141" s="121"/>
    </row>
    <row r="142" ht="15.75" customHeight="1">
      <c r="D142" s="104"/>
      <c r="F142" s="121"/>
    </row>
    <row r="143" ht="15.75" customHeight="1">
      <c r="D143" s="104"/>
      <c r="F143" s="121"/>
    </row>
    <row r="144" ht="15.75" customHeight="1">
      <c r="D144" s="104"/>
      <c r="F144" s="121"/>
    </row>
    <row r="145" ht="15.75" customHeight="1">
      <c r="D145" s="104"/>
      <c r="F145" s="121"/>
    </row>
    <row r="146" ht="15.75" customHeight="1">
      <c r="D146" s="104"/>
      <c r="F146" s="121"/>
    </row>
    <row r="147" ht="15.75" customHeight="1">
      <c r="D147" s="104"/>
      <c r="F147" s="121"/>
    </row>
    <row r="148" ht="15.75" customHeight="1">
      <c r="D148" s="104"/>
      <c r="F148" s="121"/>
    </row>
    <row r="149" ht="15.75" customHeight="1">
      <c r="D149" s="104"/>
      <c r="F149" s="121"/>
    </row>
    <row r="150" ht="15.75" customHeight="1">
      <c r="D150" s="104"/>
      <c r="F150" s="121"/>
    </row>
    <row r="151" ht="15.75" customHeight="1">
      <c r="D151" s="104"/>
      <c r="F151" s="121"/>
    </row>
    <row r="152" ht="15.75" customHeight="1">
      <c r="D152" s="104"/>
      <c r="F152" s="121"/>
    </row>
    <row r="153" ht="15.75" customHeight="1">
      <c r="D153" s="104"/>
      <c r="F153" s="121"/>
    </row>
    <row r="154" ht="15.75" customHeight="1">
      <c r="D154" s="104"/>
      <c r="F154" s="121"/>
    </row>
    <row r="155" ht="15.75" customHeight="1">
      <c r="D155" s="104"/>
      <c r="F155" s="121"/>
    </row>
    <row r="156" ht="15.75" customHeight="1">
      <c r="D156" s="104"/>
      <c r="F156" s="121"/>
    </row>
    <row r="157" ht="15.75" customHeight="1">
      <c r="D157" s="104"/>
      <c r="F157" s="121"/>
    </row>
    <row r="158" ht="15.75" customHeight="1">
      <c r="D158" s="104"/>
      <c r="F158" s="121"/>
    </row>
    <row r="159" ht="15.75" customHeight="1">
      <c r="D159" s="104"/>
      <c r="F159" s="121"/>
    </row>
    <row r="160" ht="15.75" customHeight="1">
      <c r="D160" s="104"/>
      <c r="F160" s="121"/>
    </row>
    <row r="161" ht="15.75" customHeight="1">
      <c r="D161" s="104"/>
      <c r="F161" s="121"/>
    </row>
    <row r="162" ht="15.75" customHeight="1">
      <c r="D162" s="104"/>
      <c r="F162" s="121"/>
    </row>
    <row r="163" ht="15.75" customHeight="1">
      <c r="D163" s="104"/>
      <c r="F163" s="121"/>
    </row>
    <row r="164" ht="15.75" customHeight="1">
      <c r="D164" s="104"/>
      <c r="F164" s="121"/>
    </row>
    <row r="165" ht="15.75" customHeight="1">
      <c r="D165" s="104"/>
      <c r="F165" s="121"/>
    </row>
    <row r="166" ht="15.75" customHeight="1">
      <c r="D166" s="104"/>
      <c r="F166" s="121"/>
    </row>
    <row r="167" ht="15.75" customHeight="1">
      <c r="D167" s="104"/>
      <c r="F167" s="121"/>
    </row>
    <row r="168" ht="15.75" customHeight="1">
      <c r="D168" s="104"/>
      <c r="F168" s="121"/>
    </row>
    <row r="169" ht="15.75" customHeight="1">
      <c r="D169" s="104"/>
      <c r="F169" s="121"/>
    </row>
    <row r="170" ht="15.75" customHeight="1">
      <c r="D170" s="104"/>
      <c r="F170" s="121"/>
    </row>
    <row r="171" ht="15.75" customHeight="1">
      <c r="D171" s="104"/>
      <c r="F171" s="121"/>
    </row>
    <row r="172" ht="15.75" customHeight="1">
      <c r="D172" s="104"/>
      <c r="F172" s="121"/>
    </row>
    <row r="173" ht="15.75" customHeight="1">
      <c r="D173" s="104"/>
      <c r="F173" s="121"/>
    </row>
    <row r="174" ht="15.75" customHeight="1">
      <c r="D174" s="104"/>
      <c r="F174" s="121"/>
    </row>
    <row r="175" ht="15.75" customHeight="1">
      <c r="D175" s="104"/>
      <c r="F175" s="121"/>
    </row>
    <row r="176" ht="15.75" customHeight="1">
      <c r="D176" s="104"/>
      <c r="F176" s="121"/>
    </row>
    <row r="177" ht="15.75" customHeight="1">
      <c r="D177" s="104"/>
      <c r="F177" s="121"/>
    </row>
    <row r="178" ht="15.75" customHeight="1">
      <c r="D178" s="104"/>
      <c r="F178" s="121"/>
    </row>
    <row r="179" ht="15.75" customHeight="1">
      <c r="D179" s="104"/>
      <c r="F179" s="121"/>
    </row>
    <row r="180" ht="15.75" customHeight="1">
      <c r="D180" s="104"/>
      <c r="F180" s="121"/>
    </row>
    <row r="181" ht="15.75" customHeight="1">
      <c r="D181" s="104"/>
      <c r="F181" s="121"/>
    </row>
    <row r="182" ht="15.75" customHeight="1">
      <c r="D182" s="104"/>
      <c r="F182" s="121"/>
    </row>
    <row r="183" ht="15.75" customHeight="1">
      <c r="D183" s="104"/>
      <c r="F183" s="121"/>
    </row>
    <row r="184" ht="15.75" customHeight="1">
      <c r="D184" s="104"/>
      <c r="F184" s="121"/>
    </row>
    <row r="185" ht="15.75" customHeight="1">
      <c r="D185" s="104"/>
      <c r="F185" s="121"/>
    </row>
    <row r="186" ht="15.75" customHeight="1">
      <c r="D186" s="104"/>
      <c r="F186" s="121"/>
    </row>
    <row r="187" ht="15.75" customHeight="1">
      <c r="D187" s="104"/>
      <c r="F187" s="121"/>
    </row>
    <row r="188" ht="15.75" customHeight="1">
      <c r="D188" s="104"/>
      <c r="F188" s="121"/>
    </row>
    <row r="189" ht="15.75" customHeight="1">
      <c r="D189" s="104"/>
      <c r="F189" s="121"/>
    </row>
    <row r="190" ht="15.75" customHeight="1">
      <c r="D190" s="104"/>
      <c r="F190" s="121"/>
    </row>
    <row r="191" ht="15.75" customHeight="1">
      <c r="D191" s="104"/>
      <c r="F191" s="121"/>
    </row>
    <row r="192" ht="15.75" customHeight="1">
      <c r="D192" s="104"/>
      <c r="F192" s="121"/>
    </row>
    <row r="193" ht="15.75" customHeight="1">
      <c r="D193" s="104"/>
      <c r="F193" s="121"/>
    </row>
    <row r="194" ht="15.75" customHeight="1">
      <c r="D194" s="104"/>
      <c r="F194" s="121"/>
    </row>
    <row r="195" ht="15.75" customHeight="1">
      <c r="D195" s="104"/>
      <c r="F195" s="121"/>
    </row>
    <row r="196" ht="15.75" customHeight="1">
      <c r="D196" s="104"/>
      <c r="F196" s="121"/>
    </row>
    <row r="197" ht="15.75" customHeight="1">
      <c r="D197" s="104"/>
      <c r="F197" s="121"/>
    </row>
    <row r="198" ht="15.75" customHeight="1">
      <c r="D198" s="104"/>
      <c r="F198" s="121"/>
    </row>
    <row r="199" ht="15.75" customHeight="1">
      <c r="D199" s="104"/>
      <c r="F199" s="121"/>
    </row>
    <row r="200" ht="15.75" customHeight="1">
      <c r="D200" s="104"/>
      <c r="F200" s="121"/>
    </row>
    <row r="201" ht="15.75" customHeight="1">
      <c r="D201" s="104"/>
      <c r="F201" s="121"/>
    </row>
    <row r="202" ht="15.75" customHeight="1">
      <c r="D202" s="104"/>
      <c r="F202" s="121"/>
    </row>
    <row r="203" ht="15.75" customHeight="1">
      <c r="D203" s="104"/>
      <c r="F203" s="121"/>
    </row>
    <row r="204" ht="15.75" customHeight="1">
      <c r="D204" s="104"/>
      <c r="F204" s="121"/>
    </row>
    <row r="205" ht="15.75" customHeight="1">
      <c r="D205" s="104"/>
      <c r="F205" s="121"/>
    </row>
    <row r="206" ht="15.75" customHeight="1">
      <c r="D206" s="104"/>
      <c r="F206" s="121"/>
    </row>
    <row r="207" ht="15.75" customHeight="1">
      <c r="D207" s="104"/>
      <c r="F207" s="121"/>
    </row>
    <row r="208" ht="15.75" customHeight="1">
      <c r="D208" s="104"/>
      <c r="F208" s="121"/>
    </row>
    <row r="209" ht="15.75" customHeight="1">
      <c r="D209" s="104"/>
      <c r="F209" s="121"/>
    </row>
    <row r="210" ht="15.75" customHeight="1">
      <c r="D210" s="104"/>
      <c r="F210" s="121"/>
    </row>
    <row r="211" ht="15.75" customHeight="1">
      <c r="D211" s="104"/>
      <c r="F211" s="121"/>
    </row>
    <row r="212" ht="15.75" customHeight="1">
      <c r="D212" s="104"/>
      <c r="F212" s="121"/>
    </row>
    <row r="213" ht="15.75" customHeight="1">
      <c r="D213" s="104"/>
      <c r="F213" s="121"/>
    </row>
    <row r="214" ht="15.75" customHeight="1">
      <c r="D214" s="104"/>
      <c r="F214" s="121"/>
    </row>
    <row r="215" ht="15.75" customHeight="1">
      <c r="D215" s="104"/>
      <c r="F215" s="121"/>
    </row>
    <row r="216" ht="15.75" customHeight="1">
      <c r="D216" s="104"/>
      <c r="F216" s="121"/>
    </row>
    <row r="217" ht="15.75" customHeight="1">
      <c r="D217" s="104"/>
      <c r="F217" s="121"/>
    </row>
    <row r="218" ht="15.75" customHeight="1">
      <c r="D218" s="104"/>
      <c r="F218" s="121"/>
    </row>
    <row r="219" ht="15.75" customHeight="1">
      <c r="D219" s="104"/>
      <c r="F219" s="121"/>
    </row>
    <row r="220" ht="15.75" customHeight="1">
      <c r="D220" s="104"/>
      <c r="F220" s="121"/>
    </row>
    <row r="221" ht="15.75" customHeight="1">
      <c r="D221" s="104"/>
      <c r="F221" s="121"/>
    </row>
    <row r="222" ht="15.75" customHeight="1">
      <c r="D222" s="104"/>
      <c r="F222" s="121"/>
    </row>
    <row r="223" ht="15.75" customHeight="1">
      <c r="D223" s="104"/>
      <c r="F223" s="121"/>
    </row>
    <row r="224" ht="15.75" customHeight="1">
      <c r="D224" s="104"/>
      <c r="F224" s="121"/>
    </row>
    <row r="225" ht="15.75" customHeight="1">
      <c r="D225" s="104"/>
      <c r="F225" s="121"/>
    </row>
    <row r="226" ht="15.75" customHeight="1">
      <c r="D226" s="104"/>
      <c r="F226" s="121"/>
    </row>
    <row r="227" ht="15.75" customHeight="1">
      <c r="D227" s="104"/>
      <c r="F227" s="121"/>
    </row>
    <row r="228" ht="15.75" customHeight="1">
      <c r="D228" s="104"/>
      <c r="F228" s="121"/>
    </row>
    <row r="229" ht="15.75" customHeight="1">
      <c r="D229" s="104"/>
      <c r="F229" s="121"/>
    </row>
    <row r="230" ht="15.75" customHeight="1">
      <c r="D230" s="104"/>
      <c r="F230" s="121"/>
    </row>
    <row r="231" ht="15.75" customHeight="1">
      <c r="D231" s="104"/>
      <c r="F231" s="121"/>
    </row>
    <row r="232" ht="15.75" customHeight="1">
      <c r="D232" s="104"/>
      <c r="F232" s="121"/>
    </row>
    <row r="233" ht="15.75" customHeight="1">
      <c r="D233" s="104"/>
      <c r="F233" s="121"/>
    </row>
    <row r="234" ht="15.75" customHeight="1">
      <c r="D234" s="104"/>
      <c r="F234" s="121"/>
    </row>
    <row r="235" ht="15.75" customHeight="1">
      <c r="D235" s="104"/>
      <c r="F235" s="121"/>
    </row>
    <row r="236" ht="15.75" customHeight="1">
      <c r="D236" s="104"/>
      <c r="F236" s="121"/>
    </row>
    <row r="237" ht="15.75" customHeight="1">
      <c r="D237" s="104"/>
      <c r="F237" s="121"/>
    </row>
    <row r="238" ht="15.75" customHeight="1">
      <c r="D238" s="104"/>
      <c r="F238" s="121"/>
    </row>
    <row r="239" ht="15.75" customHeight="1">
      <c r="D239" s="104"/>
      <c r="F239" s="121"/>
    </row>
    <row r="240" ht="15.75" customHeight="1">
      <c r="D240" s="104"/>
      <c r="F240" s="121"/>
    </row>
    <row r="241" ht="15.75" customHeight="1">
      <c r="D241" s="104"/>
      <c r="F241" s="121"/>
    </row>
    <row r="242" ht="15.75" customHeight="1">
      <c r="D242" s="104"/>
      <c r="F242" s="121"/>
    </row>
    <row r="243" ht="15.75" customHeight="1">
      <c r="D243" s="104"/>
      <c r="F243" s="121"/>
    </row>
    <row r="244" ht="15.75" customHeight="1">
      <c r="D244" s="104"/>
      <c r="F244" s="121"/>
    </row>
    <row r="245" ht="15.75" customHeight="1">
      <c r="D245" s="104"/>
      <c r="F245" s="121"/>
    </row>
    <row r="246" ht="15.75" customHeight="1">
      <c r="D246" s="104"/>
      <c r="F246" s="121"/>
    </row>
    <row r="247" ht="15.75" customHeight="1">
      <c r="D247" s="104"/>
      <c r="F247" s="121"/>
    </row>
    <row r="248" ht="15.75" customHeight="1">
      <c r="D248" s="104"/>
      <c r="F248" s="121"/>
    </row>
    <row r="249" ht="15.75" customHeight="1">
      <c r="D249" s="104"/>
      <c r="F249" s="121"/>
    </row>
    <row r="250" ht="15.75" customHeight="1">
      <c r="D250" s="104"/>
      <c r="F250" s="121"/>
    </row>
    <row r="251" ht="15.75" customHeight="1">
      <c r="D251" s="104"/>
      <c r="F251" s="121"/>
    </row>
    <row r="252" ht="15.75" customHeight="1">
      <c r="D252" s="104"/>
      <c r="F252" s="121"/>
    </row>
    <row r="253" ht="15.75" customHeight="1">
      <c r="D253" s="104"/>
      <c r="F253" s="121"/>
    </row>
    <row r="254" ht="15.75" customHeight="1">
      <c r="D254" s="104"/>
      <c r="F254" s="121"/>
    </row>
    <row r="255" ht="15.75" customHeight="1">
      <c r="D255" s="104"/>
      <c r="F255" s="121"/>
    </row>
    <row r="256" ht="15.75" customHeight="1">
      <c r="D256" s="104"/>
      <c r="F256" s="121"/>
    </row>
    <row r="257" ht="15.75" customHeight="1">
      <c r="D257" s="104"/>
      <c r="F257" s="121"/>
    </row>
    <row r="258" ht="15.75" customHeight="1">
      <c r="D258" s="104"/>
      <c r="F258" s="121"/>
    </row>
    <row r="259" ht="15.75" customHeight="1">
      <c r="D259" s="104"/>
      <c r="F259" s="121"/>
    </row>
    <row r="260" ht="15.75" customHeight="1">
      <c r="D260" s="104"/>
      <c r="F260" s="121"/>
    </row>
    <row r="261" ht="15.75" customHeight="1">
      <c r="D261" s="104"/>
      <c r="F261" s="121"/>
    </row>
    <row r="262" ht="15.75" customHeight="1">
      <c r="D262" s="104"/>
      <c r="F262" s="121"/>
    </row>
    <row r="263" ht="15.75" customHeight="1">
      <c r="D263" s="104"/>
      <c r="F263" s="121"/>
    </row>
    <row r="264" ht="15.75" customHeight="1">
      <c r="D264" s="104"/>
      <c r="F264" s="121"/>
    </row>
    <row r="265" ht="15.75" customHeight="1">
      <c r="D265" s="104"/>
      <c r="F265" s="121"/>
    </row>
    <row r="266" ht="15.75" customHeight="1">
      <c r="D266" s="104"/>
      <c r="F266" s="121"/>
    </row>
    <row r="267" ht="15.75" customHeight="1">
      <c r="D267" s="104"/>
      <c r="F267" s="121"/>
    </row>
    <row r="268" ht="15.75" customHeight="1">
      <c r="D268" s="104"/>
      <c r="F268" s="121"/>
    </row>
    <row r="269" ht="15.75" customHeight="1">
      <c r="D269" s="104"/>
      <c r="F269" s="121"/>
    </row>
    <row r="270" ht="15.75" customHeight="1">
      <c r="D270" s="104"/>
      <c r="F270" s="121"/>
    </row>
    <row r="271" ht="15.75" customHeight="1">
      <c r="D271" s="104"/>
      <c r="F271" s="121"/>
    </row>
    <row r="272" ht="15.75" customHeight="1">
      <c r="D272" s="104"/>
      <c r="F272" s="121"/>
    </row>
    <row r="273" ht="15.75" customHeight="1">
      <c r="D273" s="104"/>
      <c r="F273" s="121"/>
    </row>
    <row r="274" ht="15.75" customHeight="1">
      <c r="D274" s="104"/>
      <c r="F274" s="121"/>
    </row>
    <row r="275" ht="15.75" customHeight="1">
      <c r="D275" s="104"/>
      <c r="F275" s="121"/>
    </row>
    <row r="276" ht="15.75" customHeight="1">
      <c r="D276" s="104"/>
      <c r="F276" s="121"/>
    </row>
    <row r="277" ht="15.75" customHeight="1">
      <c r="D277" s="104"/>
      <c r="F277" s="121"/>
    </row>
    <row r="278" ht="15.75" customHeight="1">
      <c r="D278" s="104"/>
      <c r="F278" s="121"/>
    </row>
    <row r="279" ht="15.75" customHeight="1">
      <c r="D279" s="104"/>
      <c r="F279" s="121"/>
    </row>
    <row r="280" ht="15.75" customHeight="1">
      <c r="D280" s="104"/>
      <c r="F280" s="121"/>
    </row>
    <row r="281" ht="15.75" customHeight="1">
      <c r="D281" s="104"/>
      <c r="F281" s="121"/>
    </row>
    <row r="282" ht="15.75" customHeight="1">
      <c r="D282" s="104"/>
      <c r="F282" s="121"/>
    </row>
    <row r="283" ht="15.75" customHeight="1">
      <c r="D283" s="104"/>
      <c r="F283" s="121"/>
    </row>
    <row r="284" ht="15.75" customHeight="1">
      <c r="D284" s="104"/>
      <c r="F284" s="121"/>
    </row>
    <row r="285" ht="15.75" customHeight="1">
      <c r="D285" s="104"/>
      <c r="F285" s="121"/>
    </row>
    <row r="286" ht="15.75" customHeight="1">
      <c r="D286" s="104"/>
      <c r="F286" s="121"/>
    </row>
    <row r="287" ht="15.75" customHeight="1">
      <c r="D287" s="104"/>
      <c r="F287" s="121"/>
    </row>
    <row r="288" ht="15.75" customHeight="1">
      <c r="D288" s="104"/>
      <c r="F288" s="121"/>
    </row>
    <row r="289" ht="15.75" customHeight="1">
      <c r="D289" s="104"/>
      <c r="F289" s="121"/>
    </row>
    <row r="290" ht="15.75" customHeight="1">
      <c r="D290" s="104"/>
      <c r="F290" s="121"/>
    </row>
    <row r="291" ht="15.75" customHeight="1">
      <c r="D291" s="104"/>
      <c r="F291" s="121"/>
    </row>
    <row r="292" ht="15.75" customHeight="1">
      <c r="D292" s="104"/>
      <c r="F292" s="121"/>
    </row>
    <row r="293" ht="15.75" customHeight="1">
      <c r="D293" s="104"/>
      <c r="F293" s="121"/>
    </row>
    <row r="294" ht="15.75" customHeight="1">
      <c r="D294" s="104"/>
      <c r="F294" s="121"/>
    </row>
    <row r="295" ht="15.75" customHeight="1">
      <c r="D295" s="104"/>
      <c r="F295" s="121"/>
    </row>
    <row r="296" ht="15.75" customHeight="1">
      <c r="D296" s="104"/>
      <c r="F296" s="121"/>
    </row>
    <row r="297" ht="15.75" customHeight="1">
      <c r="D297" s="104"/>
      <c r="F297" s="121"/>
    </row>
    <row r="298" ht="15.75" customHeight="1">
      <c r="D298" s="104"/>
      <c r="F298" s="121"/>
    </row>
    <row r="299" ht="15.75" customHeight="1">
      <c r="D299" s="104"/>
      <c r="F299" s="121"/>
    </row>
    <row r="300" ht="15.75" customHeight="1">
      <c r="D300" s="104"/>
      <c r="F300" s="121"/>
    </row>
    <row r="301" ht="15.75" customHeight="1">
      <c r="D301" s="104"/>
      <c r="F301" s="121"/>
    </row>
    <row r="302" ht="15.75" customHeight="1">
      <c r="D302" s="104"/>
      <c r="F302" s="121"/>
    </row>
    <row r="303" ht="15.75" customHeight="1">
      <c r="D303" s="104"/>
      <c r="F303" s="121"/>
    </row>
    <row r="304" ht="15.75" customHeight="1">
      <c r="D304" s="104"/>
      <c r="F304" s="121"/>
    </row>
    <row r="305" ht="15.75" customHeight="1">
      <c r="D305" s="104"/>
      <c r="F305" s="121"/>
    </row>
    <row r="306" ht="15.75" customHeight="1">
      <c r="D306" s="104"/>
      <c r="F306" s="121"/>
    </row>
    <row r="307" ht="15.75" customHeight="1">
      <c r="D307" s="104"/>
      <c r="F307" s="121"/>
    </row>
    <row r="308" ht="15.75" customHeight="1">
      <c r="D308" s="104"/>
      <c r="F308" s="121"/>
    </row>
    <row r="309" ht="15.75" customHeight="1">
      <c r="D309" s="104"/>
      <c r="F309" s="121"/>
    </row>
    <row r="310" ht="15.75" customHeight="1">
      <c r="D310" s="104"/>
      <c r="F310" s="121"/>
    </row>
    <row r="311" ht="15.75" customHeight="1">
      <c r="D311" s="104"/>
      <c r="F311" s="121"/>
    </row>
    <row r="312" ht="15.75" customHeight="1">
      <c r="D312" s="104"/>
      <c r="F312" s="121"/>
    </row>
    <row r="313" ht="15.75" customHeight="1">
      <c r="D313" s="104"/>
      <c r="F313" s="121"/>
    </row>
    <row r="314" ht="15.75" customHeight="1">
      <c r="D314" s="104"/>
      <c r="F314" s="121"/>
    </row>
    <row r="315" ht="15.75" customHeight="1">
      <c r="D315" s="104"/>
      <c r="F315" s="121"/>
    </row>
    <row r="316" ht="15.75" customHeight="1">
      <c r="D316" s="104"/>
      <c r="F316" s="121"/>
    </row>
    <row r="317" ht="15.75" customHeight="1">
      <c r="D317" s="104"/>
      <c r="F317" s="121"/>
    </row>
    <row r="318" ht="15.75" customHeight="1">
      <c r="D318" s="104"/>
      <c r="F318" s="121"/>
    </row>
    <row r="319" ht="15.75" customHeight="1">
      <c r="D319" s="104"/>
      <c r="F319" s="121"/>
    </row>
    <row r="320" ht="15.75" customHeight="1">
      <c r="D320" s="104"/>
      <c r="F320" s="121"/>
    </row>
    <row r="321" ht="15.75" customHeight="1">
      <c r="D321" s="104"/>
      <c r="F321" s="121"/>
    </row>
    <row r="322" ht="15.75" customHeight="1">
      <c r="D322" s="104"/>
      <c r="F322" s="121"/>
    </row>
    <row r="323" ht="15.75" customHeight="1">
      <c r="D323" s="104"/>
      <c r="F323" s="121"/>
    </row>
    <row r="324" ht="15.75" customHeight="1">
      <c r="D324" s="104"/>
      <c r="F324" s="121"/>
    </row>
    <row r="325" ht="15.75" customHeight="1">
      <c r="D325" s="104"/>
      <c r="F325" s="121"/>
    </row>
    <row r="326" ht="15.75" customHeight="1">
      <c r="D326" s="104"/>
      <c r="F326" s="121"/>
    </row>
    <row r="327" ht="15.75" customHeight="1">
      <c r="D327" s="104"/>
      <c r="F327" s="121"/>
    </row>
    <row r="328" ht="15.75" customHeight="1">
      <c r="D328" s="104"/>
      <c r="F328" s="121"/>
    </row>
    <row r="329" ht="15.75" customHeight="1">
      <c r="D329" s="104"/>
      <c r="F329" s="121"/>
    </row>
    <row r="330" ht="15.75" customHeight="1">
      <c r="D330" s="104"/>
      <c r="F330" s="121"/>
    </row>
    <row r="331" ht="15.75" customHeight="1">
      <c r="D331" s="104"/>
      <c r="F331" s="121"/>
    </row>
    <row r="332" ht="15.75" customHeight="1">
      <c r="D332" s="104"/>
      <c r="F332" s="121"/>
    </row>
    <row r="333" ht="15.75" customHeight="1">
      <c r="D333" s="104"/>
      <c r="F333" s="121"/>
    </row>
    <row r="334" ht="15.75" customHeight="1">
      <c r="D334" s="104"/>
      <c r="F334" s="121"/>
    </row>
    <row r="335" ht="15.75" customHeight="1">
      <c r="D335" s="104"/>
      <c r="F335" s="121"/>
    </row>
    <row r="336" ht="15.75" customHeight="1">
      <c r="D336" s="104"/>
      <c r="F336" s="121"/>
    </row>
    <row r="337" ht="15.75" customHeight="1">
      <c r="D337" s="104"/>
      <c r="F337" s="121"/>
    </row>
    <row r="338" ht="15.75" customHeight="1">
      <c r="D338" s="104"/>
      <c r="F338" s="121"/>
    </row>
    <row r="339" ht="15.75" customHeight="1">
      <c r="D339" s="104"/>
      <c r="F339" s="121"/>
    </row>
    <row r="340" ht="15.75" customHeight="1">
      <c r="D340" s="104"/>
      <c r="F340" s="121"/>
    </row>
    <row r="341" ht="15.75" customHeight="1">
      <c r="D341" s="104"/>
      <c r="F341" s="121"/>
    </row>
    <row r="342" ht="15.75" customHeight="1">
      <c r="D342" s="104"/>
      <c r="F342" s="121"/>
    </row>
    <row r="343" ht="15.75" customHeight="1">
      <c r="D343" s="104"/>
      <c r="F343" s="121"/>
    </row>
    <row r="344" ht="15.75" customHeight="1">
      <c r="D344" s="104"/>
      <c r="F344" s="121"/>
    </row>
    <row r="345" ht="15.75" customHeight="1">
      <c r="D345" s="104"/>
      <c r="F345" s="121"/>
    </row>
    <row r="346" ht="15.75" customHeight="1">
      <c r="D346" s="104"/>
      <c r="F346" s="121"/>
    </row>
    <row r="347" ht="15.75" customHeight="1">
      <c r="D347" s="104"/>
      <c r="F347" s="121"/>
    </row>
    <row r="348" ht="15.75" customHeight="1">
      <c r="D348" s="104"/>
      <c r="F348" s="121"/>
    </row>
    <row r="349" ht="15.75" customHeight="1">
      <c r="D349" s="104"/>
      <c r="F349" s="121"/>
    </row>
    <row r="350" ht="15.75" customHeight="1">
      <c r="D350" s="104"/>
      <c r="F350" s="121"/>
    </row>
    <row r="351" ht="15.75" customHeight="1">
      <c r="D351" s="104"/>
      <c r="F351" s="121"/>
    </row>
    <row r="352" ht="15.75" customHeight="1">
      <c r="D352" s="104"/>
      <c r="F352" s="121"/>
    </row>
    <row r="353" ht="15.75" customHeight="1">
      <c r="D353" s="104"/>
      <c r="F353" s="121"/>
    </row>
    <row r="354" ht="15.75" customHeight="1">
      <c r="D354" s="104"/>
      <c r="F354" s="121"/>
    </row>
    <row r="355" ht="15.75" customHeight="1">
      <c r="D355" s="104"/>
      <c r="F355" s="121"/>
    </row>
    <row r="356" ht="15.75" customHeight="1">
      <c r="D356" s="104"/>
      <c r="F356" s="121"/>
    </row>
    <row r="357" ht="15.75" customHeight="1">
      <c r="D357" s="104"/>
      <c r="F357" s="121"/>
    </row>
    <row r="358" ht="15.75" customHeight="1">
      <c r="D358" s="104"/>
      <c r="F358" s="121"/>
    </row>
    <row r="359" ht="15.75" customHeight="1">
      <c r="D359" s="104"/>
      <c r="F359" s="121"/>
    </row>
    <row r="360" ht="15.75" customHeight="1">
      <c r="D360" s="104"/>
      <c r="F360" s="121"/>
    </row>
    <row r="361" ht="15.75" customHeight="1">
      <c r="D361" s="104"/>
      <c r="F361" s="121"/>
    </row>
    <row r="362" ht="15.75" customHeight="1">
      <c r="D362" s="104"/>
      <c r="F362" s="121"/>
    </row>
    <row r="363" ht="15.75" customHeight="1">
      <c r="D363" s="104"/>
      <c r="F363" s="121"/>
    </row>
    <row r="364" ht="15.75" customHeight="1">
      <c r="D364" s="104"/>
      <c r="F364" s="121"/>
    </row>
    <row r="365" ht="15.75" customHeight="1">
      <c r="D365" s="104"/>
      <c r="F365" s="121"/>
    </row>
    <row r="366" ht="15.75" customHeight="1">
      <c r="D366" s="104"/>
      <c r="F366" s="121"/>
    </row>
    <row r="367" ht="15.75" customHeight="1">
      <c r="D367" s="104"/>
      <c r="F367" s="121"/>
    </row>
    <row r="368" ht="15.75" customHeight="1">
      <c r="D368" s="104"/>
      <c r="F368" s="121"/>
    </row>
    <row r="369" ht="15.75" customHeight="1">
      <c r="D369" s="104"/>
      <c r="F369" s="121"/>
    </row>
    <row r="370" ht="15.75" customHeight="1">
      <c r="D370" s="104"/>
      <c r="F370" s="121"/>
    </row>
    <row r="371" ht="15.75" customHeight="1">
      <c r="D371" s="104"/>
      <c r="F371" s="121"/>
    </row>
    <row r="372" ht="15.75" customHeight="1">
      <c r="D372" s="104"/>
      <c r="F372" s="121"/>
    </row>
    <row r="373" ht="15.75" customHeight="1">
      <c r="D373" s="104"/>
      <c r="F373" s="121"/>
    </row>
    <row r="374" ht="15.75" customHeight="1">
      <c r="D374" s="104"/>
      <c r="F374" s="121"/>
    </row>
    <row r="375" ht="15.75" customHeight="1">
      <c r="D375" s="104"/>
      <c r="F375" s="121"/>
    </row>
    <row r="376" ht="15.75" customHeight="1">
      <c r="D376" s="104"/>
      <c r="F376" s="121"/>
    </row>
    <row r="377" ht="15.75" customHeight="1">
      <c r="D377" s="104"/>
      <c r="F377" s="121"/>
    </row>
    <row r="378" ht="15.75" customHeight="1">
      <c r="D378" s="104"/>
      <c r="F378" s="121"/>
    </row>
    <row r="379" ht="15.75" customHeight="1">
      <c r="D379" s="104"/>
      <c r="F379" s="121"/>
    </row>
    <row r="380" ht="15.75" customHeight="1">
      <c r="D380" s="104"/>
      <c r="F380" s="121"/>
    </row>
    <row r="381" ht="15.75" customHeight="1">
      <c r="D381" s="104"/>
      <c r="F381" s="121"/>
    </row>
    <row r="382" ht="15.75" customHeight="1">
      <c r="D382" s="104"/>
      <c r="F382" s="121"/>
    </row>
    <row r="383" ht="15.75" customHeight="1">
      <c r="D383" s="104"/>
      <c r="F383" s="121"/>
    </row>
    <row r="384" ht="15.75" customHeight="1">
      <c r="D384" s="104"/>
      <c r="F384" s="121"/>
    </row>
    <row r="385" ht="15.75" customHeight="1">
      <c r="D385" s="104"/>
      <c r="F385" s="121"/>
    </row>
    <row r="386" ht="15.75" customHeight="1">
      <c r="D386" s="104"/>
      <c r="F386" s="121"/>
    </row>
    <row r="387" ht="15.75" customHeight="1">
      <c r="D387" s="104"/>
      <c r="F387" s="121"/>
    </row>
    <row r="388" ht="15.75" customHeight="1">
      <c r="D388" s="104"/>
      <c r="F388" s="121"/>
    </row>
    <row r="389" ht="15.75" customHeight="1">
      <c r="D389" s="104"/>
      <c r="F389" s="121"/>
    </row>
    <row r="390" ht="15.75" customHeight="1">
      <c r="D390" s="104"/>
      <c r="F390" s="121"/>
    </row>
    <row r="391" ht="15.75" customHeight="1">
      <c r="D391" s="104"/>
      <c r="F391" s="121"/>
    </row>
    <row r="392" ht="15.75" customHeight="1">
      <c r="D392" s="104"/>
      <c r="F392" s="121"/>
    </row>
    <row r="393" ht="15.75" customHeight="1">
      <c r="D393" s="104"/>
      <c r="F393" s="121"/>
    </row>
    <row r="394" ht="15.75" customHeight="1">
      <c r="D394" s="104"/>
      <c r="F394" s="121"/>
    </row>
    <row r="395" ht="15.75" customHeight="1">
      <c r="D395" s="104"/>
      <c r="F395" s="121"/>
    </row>
    <row r="396" ht="15.75" customHeight="1">
      <c r="D396" s="104"/>
      <c r="F396" s="121"/>
    </row>
    <row r="397" ht="15.75" customHeight="1">
      <c r="D397" s="104"/>
      <c r="F397" s="121"/>
    </row>
    <row r="398" ht="15.75" customHeight="1">
      <c r="D398" s="104"/>
      <c r="F398" s="121"/>
    </row>
    <row r="399" ht="15.75" customHeight="1">
      <c r="D399" s="104"/>
      <c r="F399" s="121"/>
    </row>
    <row r="400" ht="15.75" customHeight="1">
      <c r="D400" s="104"/>
      <c r="F400" s="121"/>
    </row>
    <row r="401" ht="15.75" customHeight="1">
      <c r="D401" s="104"/>
      <c r="F401" s="121"/>
    </row>
    <row r="402" ht="15.75" customHeight="1">
      <c r="D402" s="104"/>
      <c r="F402" s="121"/>
    </row>
    <row r="403" ht="15.75" customHeight="1">
      <c r="D403" s="104"/>
      <c r="F403" s="121"/>
    </row>
    <row r="404" ht="15.75" customHeight="1">
      <c r="D404" s="104"/>
      <c r="F404" s="121"/>
    </row>
    <row r="405" ht="15.75" customHeight="1">
      <c r="D405" s="104"/>
      <c r="F405" s="121"/>
    </row>
    <row r="406" ht="15.75" customHeight="1">
      <c r="D406" s="104"/>
      <c r="F406" s="121"/>
    </row>
    <row r="407" ht="15.75" customHeight="1">
      <c r="D407" s="104"/>
      <c r="F407" s="121"/>
    </row>
    <row r="408" ht="15.75" customHeight="1">
      <c r="D408" s="104"/>
      <c r="F408" s="121"/>
    </row>
    <row r="409" ht="15.75" customHeight="1">
      <c r="D409" s="104"/>
      <c r="F409" s="121"/>
    </row>
    <row r="410" ht="15.75" customHeight="1">
      <c r="D410" s="104"/>
      <c r="F410" s="121"/>
    </row>
    <row r="411" ht="15.75" customHeight="1">
      <c r="D411" s="104"/>
      <c r="F411" s="121"/>
    </row>
    <row r="412" ht="15.75" customHeight="1">
      <c r="D412" s="104"/>
      <c r="F412" s="121"/>
    </row>
    <row r="413" ht="15.75" customHeight="1">
      <c r="D413" s="104"/>
      <c r="F413" s="121"/>
    </row>
    <row r="414" ht="15.75" customHeight="1">
      <c r="D414" s="104"/>
      <c r="F414" s="121"/>
    </row>
    <row r="415" ht="15.75" customHeight="1">
      <c r="D415" s="104"/>
      <c r="F415" s="121"/>
    </row>
    <row r="416" ht="15.75" customHeight="1">
      <c r="D416" s="104"/>
      <c r="F416" s="121"/>
    </row>
    <row r="417" ht="15.75" customHeight="1">
      <c r="D417" s="104"/>
      <c r="F417" s="121"/>
    </row>
    <row r="418" ht="15.75" customHeight="1">
      <c r="D418" s="104"/>
      <c r="F418" s="121"/>
    </row>
    <row r="419" ht="15.75" customHeight="1">
      <c r="D419" s="104"/>
      <c r="F419" s="121"/>
    </row>
    <row r="420" ht="15.75" customHeight="1">
      <c r="D420" s="104"/>
      <c r="F420" s="121"/>
    </row>
    <row r="421" ht="15.75" customHeight="1">
      <c r="D421" s="104"/>
      <c r="F421" s="121"/>
    </row>
    <row r="422" ht="15.75" customHeight="1">
      <c r="D422" s="104"/>
      <c r="F422" s="121"/>
    </row>
    <row r="423" ht="15.75" customHeight="1">
      <c r="D423" s="104"/>
      <c r="F423" s="121"/>
    </row>
    <row r="424" ht="15.75" customHeight="1">
      <c r="D424" s="104"/>
      <c r="F424" s="121"/>
    </row>
    <row r="425" ht="15.75" customHeight="1">
      <c r="D425" s="104"/>
      <c r="F425" s="121"/>
    </row>
    <row r="426" ht="15.75" customHeight="1">
      <c r="D426" s="104"/>
      <c r="F426" s="121"/>
    </row>
    <row r="427" ht="15.75" customHeight="1">
      <c r="D427" s="104"/>
      <c r="F427" s="121"/>
    </row>
    <row r="428" ht="15.75" customHeight="1">
      <c r="D428" s="104"/>
      <c r="F428" s="121"/>
    </row>
    <row r="429" ht="15.75" customHeight="1">
      <c r="D429" s="104"/>
      <c r="F429" s="121"/>
    </row>
    <row r="430" ht="15.75" customHeight="1">
      <c r="D430" s="104"/>
      <c r="F430" s="121"/>
    </row>
    <row r="431" ht="15.75" customHeight="1">
      <c r="D431" s="104"/>
      <c r="F431" s="121"/>
    </row>
    <row r="432" ht="15.75" customHeight="1">
      <c r="D432" s="104"/>
      <c r="F432" s="121"/>
    </row>
    <row r="433" ht="15.75" customHeight="1">
      <c r="D433" s="104"/>
      <c r="F433" s="121"/>
    </row>
    <row r="434" ht="15.75" customHeight="1">
      <c r="D434" s="104"/>
      <c r="F434" s="121"/>
    </row>
    <row r="435" ht="15.75" customHeight="1">
      <c r="D435" s="104"/>
      <c r="F435" s="121"/>
    </row>
    <row r="436" ht="15.75" customHeight="1">
      <c r="D436" s="104"/>
      <c r="F436" s="121"/>
    </row>
    <row r="437" ht="15.75" customHeight="1">
      <c r="D437" s="104"/>
      <c r="F437" s="121"/>
    </row>
    <row r="438" ht="15.75" customHeight="1">
      <c r="D438" s="104"/>
      <c r="F438" s="121"/>
    </row>
    <row r="439" ht="15.75" customHeight="1">
      <c r="D439" s="104"/>
      <c r="F439" s="121"/>
    </row>
    <row r="440" ht="15.75" customHeight="1">
      <c r="D440" s="104"/>
      <c r="F440" s="121"/>
    </row>
    <row r="441" ht="15.75" customHeight="1">
      <c r="D441" s="104"/>
      <c r="F441" s="121"/>
    </row>
    <row r="442" ht="15.75" customHeight="1">
      <c r="D442" s="104"/>
      <c r="F442" s="121"/>
    </row>
    <row r="443" ht="15.75" customHeight="1">
      <c r="D443" s="104"/>
      <c r="F443" s="121"/>
    </row>
    <row r="444" ht="15.75" customHeight="1">
      <c r="D444" s="104"/>
      <c r="F444" s="121"/>
    </row>
    <row r="445" ht="15.75" customHeight="1">
      <c r="D445" s="104"/>
      <c r="F445" s="121"/>
    </row>
    <row r="446" ht="15.75" customHeight="1">
      <c r="D446" s="104"/>
      <c r="F446" s="121"/>
    </row>
    <row r="447" ht="15.75" customHeight="1">
      <c r="D447" s="104"/>
      <c r="F447" s="121"/>
    </row>
    <row r="448" ht="15.75" customHeight="1">
      <c r="D448" s="104"/>
      <c r="F448" s="121"/>
    </row>
    <row r="449" ht="15.75" customHeight="1">
      <c r="D449" s="104"/>
      <c r="F449" s="121"/>
    </row>
    <row r="450" ht="15.75" customHeight="1">
      <c r="D450" s="104"/>
      <c r="F450" s="121"/>
    </row>
    <row r="451" ht="15.75" customHeight="1">
      <c r="D451" s="104"/>
      <c r="F451" s="121"/>
    </row>
    <row r="452" ht="15.75" customHeight="1">
      <c r="D452" s="104"/>
      <c r="F452" s="121"/>
    </row>
    <row r="453" ht="15.75" customHeight="1">
      <c r="D453" s="104"/>
      <c r="F453" s="121"/>
    </row>
    <row r="454" ht="15.75" customHeight="1">
      <c r="D454" s="104"/>
      <c r="F454" s="121"/>
    </row>
    <row r="455" ht="15.75" customHeight="1">
      <c r="D455" s="104"/>
      <c r="F455" s="121"/>
    </row>
    <row r="456" ht="15.75" customHeight="1">
      <c r="D456" s="104"/>
      <c r="F456" s="121"/>
    </row>
    <row r="457" ht="15.75" customHeight="1">
      <c r="D457" s="104"/>
      <c r="F457" s="121"/>
    </row>
    <row r="458" ht="15.75" customHeight="1">
      <c r="D458" s="104"/>
      <c r="F458" s="121"/>
    </row>
    <row r="459" ht="15.75" customHeight="1">
      <c r="D459" s="104"/>
      <c r="F459" s="121"/>
    </row>
    <row r="460" ht="15.75" customHeight="1">
      <c r="D460" s="104"/>
      <c r="F460" s="121"/>
    </row>
    <row r="461" ht="15.75" customHeight="1">
      <c r="D461" s="104"/>
      <c r="F461" s="121"/>
    </row>
    <row r="462" ht="15.75" customHeight="1">
      <c r="D462" s="104"/>
      <c r="F462" s="121"/>
    </row>
    <row r="463" ht="15.75" customHeight="1">
      <c r="D463" s="104"/>
      <c r="F463" s="121"/>
    </row>
    <row r="464" ht="15.75" customHeight="1">
      <c r="D464" s="104"/>
      <c r="F464" s="121"/>
    </row>
    <row r="465" ht="15.75" customHeight="1">
      <c r="D465" s="104"/>
      <c r="F465" s="121"/>
    </row>
    <row r="466" ht="15.75" customHeight="1">
      <c r="D466" s="104"/>
      <c r="F466" s="121"/>
    </row>
    <row r="467" ht="15.75" customHeight="1">
      <c r="D467" s="104"/>
      <c r="F467" s="121"/>
    </row>
    <row r="468" ht="15.75" customHeight="1">
      <c r="D468" s="104"/>
      <c r="F468" s="121"/>
    </row>
    <row r="469" ht="15.75" customHeight="1">
      <c r="D469" s="104"/>
      <c r="F469" s="121"/>
    </row>
    <row r="470" ht="15.75" customHeight="1">
      <c r="D470" s="104"/>
      <c r="F470" s="121"/>
    </row>
    <row r="471" ht="15.75" customHeight="1">
      <c r="D471" s="104"/>
      <c r="F471" s="121"/>
    </row>
    <row r="472" ht="15.75" customHeight="1">
      <c r="D472" s="104"/>
      <c r="F472" s="121"/>
    </row>
    <row r="473" ht="15.75" customHeight="1">
      <c r="D473" s="104"/>
      <c r="F473" s="121"/>
    </row>
    <row r="474" ht="15.75" customHeight="1">
      <c r="D474" s="104"/>
      <c r="F474" s="121"/>
    </row>
    <row r="475" ht="15.75" customHeight="1">
      <c r="D475" s="104"/>
      <c r="F475" s="121"/>
    </row>
    <row r="476" ht="15.75" customHeight="1">
      <c r="D476" s="104"/>
      <c r="F476" s="121"/>
    </row>
    <row r="477" ht="15.75" customHeight="1">
      <c r="D477" s="104"/>
      <c r="F477" s="121"/>
    </row>
    <row r="478" ht="15.75" customHeight="1">
      <c r="D478" s="104"/>
      <c r="F478" s="121"/>
    </row>
    <row r="479" ht="15.75" customHeight="1">
      <c r="D479" s="104"/>
      <c r="F479" s="121"/>
    </row>
    <row r="480" ht="15.75" customHeight="1">
      <c r="D480" s="104"/>
      <c r="F480" s="121"/>
    </row>
    <row r="481" ht="15.75" customHeight="1">
      <c r="D481" s="104"/>
      <c r="F481" s="121"/>
    </row>
    <row r="482" ht="15.75" customHeight="1">
      <c r="D482" s="104"/>
      <c r="F482" s="121"/>
    </row>
    <row r="483" ht="15.75" customHeight="1">
      <c r="D483" s="104"/>
      <c r="F483" s="121"/>
    </row>
    <row r="484" ht="15.75" customHeight="1">
      <c r="D484" s="104"/>
      <c r="F484" s="121"/>
    </row>
    <row r="485" ht="15.75" customHeight="1">
      <c r="D485" s="104"/>
      <c r="F485" s="121"/>
    </row>
    <row r="486" ht="15.75" customHeight="1">
      <c r="D486" s="104"/>
      <c r="F486" s="121"/>
    </row>
    <row r="487" ht="15.75" customHeight="1">
      <c r="D487" s="104"/>
      <c r="F487" s="121"/>
    </row>
    <row r="488" ht="15.75" customHeight="1">
      <c r="D488" s="104"/>
      <c r="F488" s="121"/>
    </row>
    <row r="489" ht="15.75" customHeight="1">
      <c r="D489" s="104"/>
      <c r="F489" s="121"/>
    </row>
    <row r="490" ht="15.75" customHeight="1">
      <c r="D490" s="104"/>
      <c r="F490" s="121"/>
    </row>
    <row r="491" ht="15.75" customHeight="1">
      <c r="D491" s="104"/>
      <c r="F491" s="121"/>
    </row>
    <row r="492" ht="15.75" customHeight="1">
      <c r="D492" s="104"/>
      <c r="F492" s="121"/>
    </row>
    <row r="493" ht="15.75" customHeight="1">
      <c r="D493" s="104"/>
      <c r="F493" s="121"/>
    </row>
    <row r="494" ht="15.75" customHeight="1">
      <c r="D494" s="104"/>
      <c r="F494" s="121"/>
    </row>
    <row r="495" ht="15.75" customHeight="1">
      <c r="D495" s="104"/>
      <c r="F495" s="121"/>
    </row>
    <row r="496" ht="15.75" customHeight="1">
      <c r="D496" s="104"/>
      <c r="F496" s="121"/>
    </row>
    <row r="497" ht="15.75" customHeight="1">
      <c r="D497" s="104"/>
      <c r="F497" s="121"/>
    </row>
    <row r="498" ht="15.75" customHeight="1">
      <c r="D498" s="104"/>
      <c r="F498" s="121"/>
    </row>
    <row r="499" ht="15.75" customHeight="1">
      <c r="D499" s="104"/>
      <c r="F499" s="121"/>
    </row>
    <row r="500" ht="15.75" customHeight="1">
      <c r="D500" s="104"/>
      <c r="F500" s="121"/>
    </row>
    <row r="501" ht="15.75" customHeight="1">
      <c r="D501" s="104"/>
      <c r="F501" s="121"/>
    </row>
    <row r="502" ht="15.75" customHeight="1">
      <c r="D502" s="104"/>
      <c r="F502" s="121"/>
    </row>
    <row r="503" ht="15.75" customHeight="1">
      <c r="D503" s="104"/>
      <c r="F503" s="121"/>
    </row>
    <row r="504" ht="15.75" customHeight="1">
      <c r="D504" s="104"/>
      <c r="F504" s="121"/>
    </row>
    <row r="505" ht="15.75" customHeight="1">
      <c r="D505" s="104"/>
      <c r="F505" s="121"/>
    </row>
    <row r="506" ht="15.75" customHeight="1">
      <c r="D506" s="104"/>
      <c r="F506" s="121"/>
    </row>
    <row r="507" ht="15.75" customHeight="1">
      <c r="D507" s="104"/>
      <c r="F507" s="121"/>
    </row>
    <row r="508" ht="15.75" customHeight="1">
      <c r="D508" s="104"/>
      <c r="F508" s="121"/>
    </row>
    <row r="509" ht="15.75" customHeight="1">
      <c r="D509" s="104"/>
      <c r="F509" s="121"/>
    </row>
    <row r="510" ht="15.75" customHeight="1">
      <c r="D510" s="104"/>
      <c r="F510" s="121"/>
    </row>
    <row r="511" ht="15.75" customHeight="1">
      <c r="D511" s="104"/>
      <c r="F511" s="121"/>
    </row>
    <row r="512" ht="15.75" customHeight="1">
      <c r="D512" s="104"/>
      <c r="F512" s="121"/>
    </row>
    <row r="513" ht="15.75" customHeight="1">
      <c r="D513" s="104"/>
      <c r="F513" s="121"/>
    </row>
    <row r="514" ht="15.75" customHeight="1">
      <c r="D514" s="104"/>
      <c r="F514" s="121"/>
    </row>
    <row r="515" ht="15.75" customHeight="1">
      <c r="D515" s="104"/>
      <c r="F515" s="121"/>
    </row>
    <row r="516" ht="15.75" customHeight="1">
      <c r="D516" s="104"/>
      <c r="F516" s="121"/>
    </row>
    <row r="517" ht="15.75" customHeight="1">
      <c r="D517" s="104"/>
      <c r="F517" s="121"/>
    </row>
    <row r="518" ht="15.75" customHeight="1">
      <c r="D518" s="104"/>
      <c r="F518" s="121"/>
    </row>
    <row r="519" ht="15.75" customHeight="1">
      <c r="D519" s="104"/>
      <c r="F519" s="121"/>
    </row>
    <row r="520" ht="15.75" customHeight="1">
      <c r="D520" s="104"/>
      <c r="F520" s="121"/>
    </row>
    <row r="521" ht="15.75" customHeight="1">
      <c r="D521" s="104"/>
      <c r="F521" s="121"/>
    </row>
    <row r="522" ht="15.75" customHeight="1">
      <c r="D522" s="104"/>
      <c r="F522" s="121"/>
    </row>
    <row r="523" ht="15.75" customHeight="1">
      <c r="D523" s="104"/>
      <c r="F523" s="121"/>
    </row>
    <row r="524" ht="15.75" customHeight="1">
      <c r="D524" s="104"/>
      <c r="F524" s="121"/>
    </row>
    <row r="525" ht="15.75" customHeight="1">
      <c r="D525" s="104"/>
      <c r="F525" s="121"/>
    </row>
    <row r="526" ht="15.75" customHeight="1">
      <c r="D526" s="104"/>
      <c r="F526" s="121"/>
    </row>
    <row r="527" ht="15.75" customHeight="1">
      <c r="D527" s="104"/>
      <c r="F527" s="121"/>
    </row>
    <row r="528" ht="15.75" customHeight="1">
      <c r="D528" s="104"/>
      <c r="F528" s="121"/>
    </row>
    <row r="529" ht="15.75" customHeight="1">
      <c r="D529" s="104"/>
      <c r="F529" s="121"/>
    </row>
    <row r="530" ht="15.75" customHeight="1">
      <c r="D530" s="104"/>
      <c r="F530" s="121"/>
    </row>
    <row r="531" ht="15.75" customHeight="1">
      <c r="D531" s="104"/>
      <c r="F531" s="121"/>
    </row>
    <row r="532" ht="15.75" customHeight="1">
      <c r="D532" s="104"/>
      <c r="F532" s="121"/>
    </row>
    <row r="533" ht="15.75" customHeight="1">
      <c r="D533" s="104"/>
      <c r="F533" s="121"/>
    </row>
    <row r="534" ht="15.75" customHeight="1">
      <c r="D534" s="104"/>
      <c r="F534" s="121"/>
    </row>
    <row r="535" ht="15.75" customHeight="1">
      <c r="D535" s="104"/>
      <c r="F535" s="121"/>
    </row>
    <row r="536" ht="15.75" customHeight="1">
      <c r="D536" s="104"/>
      <c r="F536" s="121"/>
    </row>
    <row r="537" ht="15.75" customHeight="1">
      <c r="D537" s="104"/>
      <c r="F537" s="121"/>
    </row>
    <row r="538" ht="15.75" customHeight="1">
      <c r="D538" s="104"/>
      <c r="F538" s="121"/>
    </row>
    <row r="539" ht="15.75" customHeight="1">
      <c r="D539" s="104"/>
      <c r="F539" s="121"/>
    </row>
    <row r="540" ht="15.75" customHeight="1">
      <c r="D540" s="104"/>
      <c r="F540" s="121"/>
    </row>
    <row r="541" ht="15.75" customHeight="1">
      <c r="D541" s="104"/>
      <c r="F541" s="121"/>
    </row>
    <row r="542" ht="15.75" customHeight="1">
      <c r="D542" s="104"/>
      <c r="F542" s="121"/>
    </row>
    <row r="543" ht="15.75" customHeight="1">
      <c r="D543" s="104"/>
      <c r="F543" s="121"/>
    </row>
    <row r="544" ht="15.75" customHeight="1">
      <c r="D544" s="104"/>
      <c r="F544" s="121"/>
    </row>
    <row r="545" ht="15.75" customHeight="1">
      <c r="D545" s="104"/>
      <c r="F545" s="121"/>
    </row>
    <row r="546" ht="15.75" customHeight="1">
      <c r="D546" s="104"/>
      <c r="F546" s="121"/>
    </row>
    <row r="547" ht="15.75" customHeight="1">
      <c r="D547" s="104"/>
      <c r="F547" s="121"/>
    </row>
    <row r="548" ht="15.75" customHeight="1">
      <c r="D548" s="104"/>
      <c r="F548" s="121"/>
    </row>
    <row r="549" ht="15.75" customHeight="1">
      <c r="D549" s="104"/>
      <c r="F549" s="121"/>
    </row>
    <row r="550" ht="15.75" customHeight="1">
      <c r="D550" s="104"/>
      <c r="F550" s="121"/>
    </row>
    <row r="551" ht="15.75" customHeight="1">
      <c r="D551" s="104"/>
      <c r="F551" s="121"/>
    </row>
    <row r="552" ht="15.75" customHeight="1">
      <c r="D552" s="104"/>
      <c r="F552" s="121"/>
    </row>
    <row r="553" ht="15.75" customHeight="1">
      <c r="D553" s="104"/>
      <c r="F553" s="121"/>
    </row>
    <row r="554" ht="15.75" customHeight="1">
      <c r="D554" s="104"/>
      <c r="F554" s="121"/>
    </row>
    <row r="555" ht="15.75" customHeight="1">
      <c r="D555" s="104"/>
      <c r="F555" s="121"/>
    </row>
    <row r="556" ht="15.75" customHeight="1">
      <c r="D556" s="104"/>
      <c r="F556" s="121"/>
    </row>
    <row r="557" ht="15.75" customHeight="1">
      <c r="D557" s="104"/>
      <c r="F557" s="121"/>
    </row>
    <row r="558" ht="15.75" customHeight="1">
      <c r="D558" s="104"/>
      <c r="F558" s="121"/>
    </row>
    <row r="559" ht="15.75" customHeight="1">
      <c r="D559" s="104"/>
      <c r="F559" s="121"/>
    </row>
    <row r="560" ht="15.75" customHeight="1">
      <c r="D560" s="104"/>
      <c r="F560" s="121"/>
    </row>
    <row r="561" ht="15.75" customHeight="1">
      <c r="D561" s="104"/>
      <c r="F561" s="121"/>
    </row>
    <row r="562" ht="15.75" customHeight="1">
      <c r="D562" s="104"/>
      <c r="F562" s="121"/>
    </row>
    <row r="563" ht="15.75" customHeight="1">
      <c r="D563" s="104"/>
      <c r="F563" s="121"/>
    </row>
    <row r="564" ht="15.75" customHeight="1">
      <c r="D564" s="104"/>
      <c r="F564" s="121"/>
    </row>
    <row r="565" ht="15.75" customHeight="1">
      <c r="D565" s="104"/>
      <c r="F565" s="121"/>
    </row>
    <row r="566" ht="15.75" customHeight="1">
      <c r="D566" s="104"/>
      <c r="F566" s="121"/>
    </row>
    <row r="567" ht="15.75" customHeight="1">
      <c r="D567" s="104"/>
      <c r="F567" s="121"/>
    </row>
    <row r="568" ht="15.75" customHeight="1">
      <c r="D568" s="104"/>
      <c r="F568" s="121"/>
    </row>
    <row r="569" ht="15.75" customHeight="1">
      <c r="D569" s="104"/>
      <c r="F569" s="121"/>
    </row>
    <row r="570" ht="15.75" customHeight="1">
      <c r="D570" s="104"/>
      <c r="F570" s="121"/>
    </row>
    <row r="571" ht="15.75" customHeight="1">
      <c r="D571" s="104"/>
      <c r="F571" s="121"/>
    </row>
    <row r="572" ht="15.75" customHeight="1">
      <c r="D572" s="104"/>
      <c r="F572" s="121"/>
    </row>
    <row r="573" ht="15.75" customHeight="1">
      <c r="D573" s="104"/>
      <c r="F573" s="121"/>
    </row>
    <row r="574" ht="15.75" customHeight="1">
      <c r="D574" s="104"/>
      <c r="F574" s="121"/>
    </row>
    <row r="575" ht="15.75" customHeight="1">
      <c r="D575" s="104"/>
      <c r="F575" s="121"/>
    </row>
    <row r="576" ht="15.75" customHeight="1">
      <c r="D576" s="104"/>
      <c r="F576" s="121"/>
    </row>
    <row r="577" ht="15.75" customHeight="1">
      <c r="D577" s="104"/>
      <c r="F577" s="121"/>
    </row>
    <row r="578" ht="15.75" customHeight="1">
      <c r="D578" s="104"/>
      <c r="F578" s="121"/>
    </row>
    <row r="579" ht="15.75" customHeight="1">
      <c r="D579" s="104"/>
      <c r="F579" s="121"/>
    </row>
    <row r="580" ht="15.75" customHeight="1">
      <c r="D580" s="104"/>
      <c r="F580" s="121"/>
    </row>
    <row r="581" ht="15.75" customHeight="1">
      <c r="D581" s="104"/>
      <c r="F581" s="121"/>
    </row>
    <row r="582" ht="15.75" customHeight="1">
      <c r="D582" s="104"/>
      <c r="F582" s="121"/>
    </row>
    <row r="583" ht="15.75" customHeight="1">
      <c r="D583" s="104"/>
      <c r="F583" s="121"/>
    </row>
    <row r="584" ht="15.75" customHeight="1">
      <c r="D584" s="104"/>
      <c r="F584" s="121"/>
    </row>
    <row r="585" ht="15.75" customHeight="1">
      <c r="D585" s="104"/>
      <c r="F585" s="121"/>
    </row>
    <row r="586" ht="15.75" customHeight="1">
      <c r="D586" s="104"/>
      <c r="F586" s="121"/>
    </row>
    <row r="587" ht="15.75" customHeight="1">
      <c r="D587" s="104"/>
      <c r="F587" s="121"/>
    </row>
    <row r="588" ht="15.75" customHeight="1">
      <c r="D588" s="104"/>
      <c r="F588" s="121"/>
    </row>
    <row r="589" ht="15.75" customHeight="1">
      <c r="D589" s="104"/>
      <c r="F589" s="121"/>
    </row>
    <row r="590" ht="15.75" customHeight="1">
      <c r="D590" s="104"/>
      <c r="F590" s="121"/>
    </row>
    <row r="591" ht="15.75" customHeight="1">
      <c r="D591" s="104"/>
      <c r="F591" s="121"/>
    </row>
    <row r="592" ht="15.75" customHeight="1">
      <c r="D592" s="104"/>
      <c r="F592" s="121"/>
    </row>
    <row r="593" ht="15.75" customHeight="1">
      <c r="D593" s="104"/>
      <c r="F593" s="121"/>
    </row>
    <row r="594" ht="15.75" customHeight="1">
      <c r="D594" s="104"/>
      <c r="F594" s="121"/>
    </row>
    <row r="595" ht="15.75" customHeight="1">
      <c r="D595" s="104"/>
      <c r="F595" s="121"/>
    </row>
    <row r="596" ht="15.75" customHeight="1">
      <c r="D596" s="104"/>
      <c r="F596" s="121"/>
    </row>
    <row r="597" ht="15.75" customHeight="1">
      <c r="D597" s="104"/>
      <c r="F597" s="121"/>
    </row>
    <row r="598" ht="15.75" customHeight="1">
      <c r="D598" s="104"/>
      <c r="F598" s="121"/>
    </row>
    <row r="599" ht="15.75" customHeight="1">
      <c r="D599" s="104"/>
      <c r="F599" s="121"/>
    </row>
    <row r="600" ht="15.75" customHeight="1">
      <c r="D600" s="104"/>
      <c r="F600" s="121"/>
    </row>
    <row r="601" ht="15.75" customHeight="1">
      <c r="D601" s="104"/>
      <c r="F601" s="121"/>
    </row>
    <row r="602" ht="15.75" customHeight="1">
      <c r="D602" s="104"/>
      <c r="F602" s="121"/>
    </row>
    <row r="603" ht="15.75" customHeight="1">
      <c r="D603" s="104"/>
      <c r="F603" s="121"/>
    </row>
    <row r="604" ht="15.75" customHeight="1">
      <c r="D604" s="104"/>
      <c r="F604" s="121"/>
    </row>
    <row r="605" ht="15.75" customHeight="1">
      <c r="D605" s="104"/>
      <c r="F605" s="121"/>
    </row>
    <row r="606" ht="15.75" customHeight="1">
      <c r="D606" s="104"/>
      <c r="F606" s="121"/>
    </row>
    <row r="607" ht="15.75" customHeight="1">
      <c r="D607" s="104"/>
      <c r="F607" s="121"/>
    </row>
    <row r="608" ht="15.75" customHeight="1">
      <c r="D608" s="104"/>
      <c r="F608" s="121"/>
    </row>
    <row r="609" ht="15.75" customHeight="1">
      <c r="D609" s="104"/>
      <c r="F609" s="121"/>
    </row>
    <row r="610" ht="15.75" customHeight="1">
      <c r="D610" s="104"/>
      <c r="F610" s="121"/>
    </row>
    <row r="611" ht="15.75" customHeight="1">
      <c r="D611" s="104"/>
      <c r="F611" s="121"/>
    </row>
    <row r="612" ht="15.75" customHeight="1">
      <c r="D612" s="104"/>
      <c r="F612" s="121"/>
    </row>
    <row r="613" ht="15.75" customHeight="1">
      <c r="D613" s="104"/>
      <c r="F613" s="121"/>
    </row>
    <row r="614" ht="15.75" customHeight="1">
      <c r="D614" s="104"/>
      <c r="F614" s="121"/>
    </row>
    <row r="615" ht="15.75" customHeight="1">
      <c r="D615" s="104"/>
      <c r="F615" s="121"/>
    </row>
    <row r="616" ht="15.75" customHeight="1">
      <c r="D616" s="104"/>
      <c r="F616" s="121"/>
    </row>
    <row r="617" ht="15.75" customHeight="1">
      <c r="D617" s="104"/>
      <c r="F617" s="121"/>
    </row>
    <row r="618" ht="15.75" customHeight="1">
      <c r="D618" s="104"/>
      <c r="F618" s="121"/>
    </row>
    <row r="619" ht="15.75" customHeight="1">
      <c r="D619" s="104"/>
      <c r="F619" s="121"/>
    </row>
    <row r="620" ht="15.75" customHeight="1">
      <c r="D620" s="104"/>
      <c r="F620" s="121"/>
    </row>
    <row r="621" ht="15.75" customHeight="1">
      <c r="D621" s="104"/>
      <c r="F621" s="121"/>
    </row>
    <row r="622" ht="15.75" customHeight="1">
      <c r="D622" s="104"/>
      <c r="F622" s="121"/>
    </row>
    <row r="623" ht="15.75" customHeight="1">
      <c r="D623" s="104"/>
      <c r="F623" s="121"/>
    </row>
    <row r="624" ht="15.75" customHeight="1">
      <c r="D624" s="104"/>
      <c r="F624" s="121"/>
    </row>
    <row r="625" ht="15.75" customHeight="1">
      <c r="D625" s="104"/>
      <c r="F625" s="121"/>
    </row>
    <row r="626" ht="15.75" customHeight="1">
      <c r="D626" s="104"/>
      <c r="F626" s="121"/>
    </row>
    <row r="627" ht="15.75" customHeight="1">
      <c r="D627" s="104"/>
      <c r="F627" s="121"/>
    </row>
    <row r="628" ht="15.75" customHeight="1">
      <c r="D628" s="104"/>
      <c r="F628" s="121"/>
    </row>
    <row r="629" ht="15.75" customHeight="1">
      <c r="D629" s="104"/>
      <c r="F629" s="121"/>
    </row>
    <row r="630" ht="15.75" customHeight="1">
      <c r="D630" s="104"/>
      <c r="F630" s="121"/>
    </row>
    <row r="631" ht="15.75" customHeight="1">
      <c r="D631" s="104"/>
      <c r="F631" s="121"/>
    </row>
    <row r="632" ht="15.75" customHeight="1">
      <c r="D632" s="104"/>
      <c r="F632" s="121"/>
    </row>
    <row r="633" ht="15.75" customHeight="1">
      <c r="D633" s="104"/>
      <c r="F633" s="121"/>
    </row>
    <row r="634" ht="15.75" customHeight="1">
      <c r="D634" s="104"/>
      <c r="F634" s="121"/>
    </row>
    <row r="635" ht="15.75" customHeight="1">
      <c r="D635" s="104"/>
      <c r="F635" s="121"/>
    </row>
    <row r="636" ht="15.75" customHeight="1">
      <c r="D636" s="104"/>
      <c r="F636" s="121"/>
    </row>
    <row r="637" ht="15.75" customHeight="1">
      <c r="D637" s="104"/>
      <c r="F637" s="121"/>
    </row>
    <row r="638" ht="15.75" customHeight="1">
      <c r="D638" s="104"/>
      <c r="F638" s="121"/>
    </row>
    <row r="639" ht="15.75" customHeight="1">
      <c r="D639" s="104"/>
      <c r="F639" s="121"/>
    </row>
    <row r="640" ht="15.75" customHeight="1">
      <c r="D640" s="104"/>
      <c r="F640" s="121"/>
    </row>
    <row r="641" ht="15.75" customHeight="1">
      <c r="D641" s="104"/>
      <c r="F641" s="121"/>
    </row>
    <row r="642" ht="15.75" customHeight="1">
      <c r="D642" s="104"/>
      <c r="F642" s="121"/>
    </row>
    <row r="643" ht="15.75" customHeight="1">
      <c r="D643" s="104"/>
      <c r="F643" s="121"/>
    </row>
    <row r="644" ht="15.75" customHeight="1">
      <c r="D644" s="104"/>
      <c r="F644" s="121"/>
    </row>
    <row r="645" ht="15.75" customHeight="1">
      <c r="D645" s="104"/>
      <c r="F645" s="121"/>
    </row>
    <row r="646" ht="15.75" customHeight="1">
      <c r="D646" s="104"/>
      <c r="F646" s="121"/>
    </row>
    <row r="647" ht="15.75" customHeight="1">
      <c r="D647" s="104"/>
      <c r="F647" s="121"/>
    </row>
    <row r="648" ht="15.75" customHeight="1">
      <c r="D648" s="104"/>
      <c r="F648" s="121"/>
    </row>
    <row r="649" ht="15.75" customHeight="1">
      <c r="D649" s="104"/>
      <c r="F649" s="121"/>
    </row>
    <row r="650" ht="15.75" customHeight="1">
      <c r="D650" s="104"/>
      <c r="F650" s="121"/>
    </row>
    <row r="651" ht="15.75" customHeight="1">
      <c r="D651" s="104"/>
      <c r="F651" s="121"/>
    </row>
    <row r="652" ht="15.75" customHeight="1">
      <c r="D652" s="104"/>
      <c r="F652" s="121"/>
    </row>
    <row r="653" ht="15.75" customHeight="1">
      <c r="D653" s="104"/>
      <c r="F653" s="121"/>
    </row>
    <row r="654" ht="15.75" customHeight="1">
      <c r="D654" s="104"/>
      <c r="F654" s="121"/>
    </row>
    <row r="655" ht="15.75" customHeight="1">
      <c r="D655" s="104"/>
      <c r="F655" s="121"/>
    </row>
    <row r="656" ht="15.75" customHeight="1">
      <c r="D656" s="104"/>
      <c r="F656" s="121"/>
    </row>
    <row r="657" ht="15.75" customHeight="1">
      <c r="D657" s="104"/>
      <c r="F657" s="121"/>
    </row>
    <row r="658" ht="15.75" customHeight="1">
      <c r="D658" s="104"/>
      <c r="F658" s="121"/>
    </row>
    <row r="659" ht="15.75" customHeight="1">
      <c r="D659" s="104"/>
      <c r="F659" s="121"/>
    </row>
    <row r="660" ht="15.75" customHeight="1">
      <c r="D660" s="104"/>
      <c r="F660" s="121"/>
    </row>
    <row r="661" ht="15.75" customHeight="1">
      <c r="D661" s="104"/>
      <c r="F661" s="121"/>
    </row>
    <row r="662" ht="15.75" customHeight="1">
      <c r="D662" s="104"/>
      <c r="F662" s="121"/>
    </row>
    <row r="663" ht="15.75" customHeight="1">
      <c r="D663" s="104"/>
      <c r="F663" s="121"/>
    </row>
    <row r="664" ht="15.75" customHeight="1">
      <c r="D664" s="104"/>
      <c r="F664" s="121"/>
    </row>
    <row r="665" ht="15.75" customHeight="1">
      <c r="D665" s="104"/>
      <c r="F665" s="121"/>
    </row>
    <row r="666" ht="15.75" customHeight="1">
      <c r="D666" s="104"/>
      <c r="F666" s="121"/>
    </row>
    <row r="667" ht="15.75" customHeight="1">
      <c r="D667" s="104"/>
      <c r="F667" s="121"/>
    </row>
    <row r="668" ht="15.75" customHeight="1">
      <c r="D668" s="104"/>
      <c r="F668" s="121"/>
    </row>
    <row r="669" ht="15.75" customHeight="1">
      <c r="D669" s="104"/>
      <c r="F669" s="121"/>
    </row>
    <row r="670" ht="15.75" customHeight="1">
      <c r="D670" s="104"/>
      <c r="F670" s="121"/>
    </row>
    <row r="671" ht="15.75" customHeight="1">
      <c r="D671" s="104"/>
      <c r="F671" s="121"/>
    </row>
    <row r="672" ht="15.75" customHeight="1">
      <c r="D672" s="104"/>
      <c r="F672" s="121"/>
    </row>
    <row r="673" ht="15.75" customHeight="1">
      <c r="D673" s="104"/>
      <c r="F673" s="121"/>
    </row>
    <row r="674" ht="15.75" customHeight="1">
      <c r="D674" s="104"/>
      <c r="F674" s="121"/>
    </row>
    <row r="675" ht="15.75" customHeight="1">
      <c r="D675" s="104"/>
      <c r="F675" s="121"/>
    </row>
    <row r="676" ht="15.75" customHeight="1">
      <c r="D676" s="104"/>
      <c r="F676" s="121"/>
    </row>
    <row r="677" ht="15.75" customHeight="1">
      <c r="D677" s="104"/>
      <c r="F677" s="121"/>
    </row>
    <row r="678" ht="15.75" customHeight="1">
      <c r="D678" s="104"/>
      <c r="F678" s="121"/>
    </row>
    <row r="679" ht="15.75" customHeight="1">
      <c r="D679" s="104"/>
      <c r="F679" s="121"/>
    </row>
    <row r="680" ht="15.75" customHeight="1">
      <c r="D680" s="104"/>
      <c r="F680" s="121"/>
    </row>
    <row r="681" ht="15.75" customHeight="1">
      <c r="D681" s="104"/>
      <c r="F681" s="121"/>
    </row>
    <row r="682" ht="15.75" customHeight="1">
      <c r="D682" s="104"/>
      <c r="F682" s="121"/>
    </row>
    <row r="683" ht="15.75" customHeight="1">
      <c r="D683" s="104"/>
      <c r="F683" s="121"/>
    </row>
    <row r="684" ht="15.75" customHeight="1">
      <c r="D684" s="104"/>
      <c r="F684" s="121"/>
    </row>
    <row r="685" ht="15.75" customHeight="1">
      <c r="D685" s="104"/>
      <c r="F685" s="121"/>
    </row>
    <row r="686" ht="15.75" customHeight="1">
      <c r="D686" s="104"/>
      <c r="F686" s="121"/>
    </row>
    <row r="687" ht="15.75" customHeight="1">
      <c r="D687" s="104"/>
      <c r="F687" s="121"/>
    </row>
    <row r="688" ht="15.75" customHeight="1">
      <c r="D688" s="104"/>
      <c r="F688" s="121"/>
    </row>
    <row r="689" ht="15.75" customHeight="1">
      <c r="D689" s="104"/>
      <c r="F689" s="121"/>
    </row>
    <row r="690" ht="15.75" customHeight="1">
      <c r="D690" s="104"/>
      <c r="F690" s="121"/>
    </row>
    <row r="691" ht="15.75" customHeight="1">
      <c r="D691" s="104"/>
      <c r="F691" s="121"/>
    </row>
    <row r="692" ht="15.75" customHeight="1">
      <c r="D692" s="104"/>
      <c r="F692" s="121"/>
    </row>
    <row r="693" ht="15.75" customHeight="1">
      <c r="D693" s="104"/>
      <c r="F693" s="121"/>
    </row>
    <row r="694" ht="15.75" customHeight="1">
      <c r="D694" s="104"/>
      <c r="F694" s="121"/>
    </row>
    <row r="695" ht="15.75" customHeight="1">
      <c r="D695" s="104"/>
      <c r="F695" s="121"/>
    </row>
    <row r="696" ht="15.75" customHeight="1">
      <c r="D696" s="104"/>
      <c r="F696" s="121"/>
    </row>
    <row r="697" ht="15.75" customHeight="1">
      <c r="D697" s="104"/>
      <c r="F697" s="121"/>
    </row>
    <row r="698" ht="15.75" customHeight="1">
      <c r="D698" s="104"/>
      <c r="F698" s="121"/>
    </row>
    <row r="699" ht="15.75" customHeight="1">
      <c r="D699" s="104"/>
      <c r="F699" s="121"/>
    </row>
    <row r="700" ht="15.75" customHeight="1">
      <c r="D700" s="104"/>
      <c r="F700" s="121"/>
    </row>
    <row r="701" ht="15.75" customHeight="1">
      <c r="D701" s="104"/>
      <c r="F701" s="121"/>
    </row>
    <row r="702" ht="15.75" customHeight="1">
      <c r="D702" s="104"/>
      <c r="F702" s="121"/>
    </row>
    <row r="703" ht="15.75" customHeight="1">
      <c r="D703" s="104"/>
      <c r="F703" s="121"/>
    </row>
    <row r="704" ht="15.75" customHeight="1">
      <c r="D704" s="104"/>
      <c r="F704" s="121"/>
    </row>
    <row r="705" ht="15.75" customHeight="1">
      <c r="D705" s="104"/>
      <c r="F705" s="121"/>
    </row>
    <row r="706" ht="15.75" customHeight="1">
      <c r="D706" s="104"/>
      <c r="F706" s="121"/>
    </row>
    <row r="707" ht="15.75" customHeight="1">
      <c r="D707" s="104"/>
      <c r="F707" s="121"/>
    </row>
    <row r="708" ht="15.75" customHeight="1">
      <c r="D708" s="104"/>
      <c r="F708" s="121"/>
    </row>
    <row r="709" ht="15.75" customHeight="1">
      <c r="D709" s="104"/>
      <c r="F709" s="121"/>
    </row>
    <row r="710" ht="15.75" customHeight="1">
      <c r="D710" s="104"/>
      <c r="F710" s="121"/>
    </row>
    <row r="711" ht="15.75" customHeight="1">
      <c r="D711" s="104"/>
      <c r="F711" s="121"/>
    </row>
    <row r="712" ht="15.75" customHeight="1">
      <c r="D712" s="104"/>
      <c r="F712" s="121"/>
    </row>
    <row r="713" ht="15.75" customHeight="1">
      <c r="D713" s="104"/>
      <c r="F713" s="121"/>
    </row>
    <row r="714" ht="15.75" customHeight="1">
      <c r="D714" s="104"/>
      <c r="F714" s="121"/>
    </row>
    <row r="715" ht="15.75" customHeight="1">
      <c r="D715" s="104"/>
      <c r="F715" s="121"/>
    </row>
    <row r="716" ht="15.75" customHeight="1">
      <c r="D716" s="104"/>
      <c r="F716" s="121"/>
    </row>
    <row r="717" ht="15.75" customHeight="1">
      <c r="D717" s="104"/>
      <c r="F717" s="121"/>
    </row>
    <row r="718" ht="15.75" customHeight="1">
      <c r="D718" s="104"/>
      <c r="F718" s="121"/>
    </row>
    <row r="719" ht="15.75" customHeight="1">
      <c r="D719" s="104"/>
      <c r="F719" s="121"/>
    </row>
    <row r="720" ht="15.75" customHeight="1">
      <c r="D720" s="104"/>
      <c r="F720" s="121"/>
    </row>
    <row r="721" ht="15.75" customHeight="1">
      <c r="D721" s="104"/>
      <c r="F721" s="121"/>
    </row>
    <row r="722" ht="15.75" customHeight="1">
      <c r="D722" s="104"/>
      <c r="F722" s="121"/>
    </row>
    <row r="723" ht="15.75" customHeight="1">
      <c r="D723" s="104"/>
      <c r="F723" s="121"/>
    </row>
    <row r="724" ht="15.75" customHeight="1">
      <c r="D724" s="104"/>
      <c r="F724" s="121"/>
    </row>
    <row r="725" ht="15.75" customHeight="1">
      <c r="D725" s="104"/>
      <c r="F725" s="121"/>
    </row>
    <row r="726" ht="15.75" customHeight="1">
      <c r="D726" s="104"/>
      <c r="F726" s="121"/>
    </row>
    <row r="727" ht="15.75" customHeight="1">
      <c r="D727" s="104"/>
      <c r="F727" s="121"/>
    </row>
    <row r="728" ht="15.75" customHeight="1">
      <c r="D728" s="104"/>
      <c r="F728" s="121"/>
    </row>
    <row r="729" ht="15.75" customHeight="1">
      <c r="D729" s="104"/>
      <c r="F729" s="121"/>
    </row>
    <row r="730" ht="15.75" customHeight="1">
      <c r="D730" s="104"/>
      <c r="F730" s="121"/>
    </row>
    <row r="731" ht="15.75" customHeight="1">
      <c r="D731" s="104"/>
      <c r="F731" s="121"/>
    </row>
    <row r="732" ht="15.75" customHeight="1">
      <c r="D732" s="104"/>
      <c r="F732" s="121"/>
    </row>
    <row r="733" ht="15.75" customHeight="1">
      <c r="D733" s="104"/>
      <c r="F733" s="121"/>
    </row>
    <row r="734" ht="15.75" customHeight="1">
      <c r="D734" s="104"/>
      <c r="F734" s="121"/>
    </row>
    <row r="735" ht="15.75" customHeight="1">
      <c r="D735" s="104"/>
      <c r="F735" s="121"/>
    </row>
    <row r="736" ht="15.75" customHeight="1">
      <c r="D736" s="104"/>
      <c r="F736" s="121"/>
    </row>
    <row r="737" ht="15.75" customHeight="1">
      <c r="D737" s="104"/>
      <c r="F737" s="121"/>
    </row>
    <row r="738" ht="15.75" customHeight="1">
      <c r="D738" s="104"/>
      <c r="F738" s="121"/>
    </row>
    <row r="739" ht="15.75" customHeight="1">
      <c r="D739" s="104"/>
      <c r="F739" s="121"/>
    </row>
    <row r="740" ht="15.75" customHeight="1">
      <c r="D740" s="104"/>
      <c r="F740" s="121"/>
    </row>
    <row r="741" ht="15.75" customHeight="1">
      <c r="D741" s="104"/>
      <c r="F741" s="121"/>
    </row>
    <row r="742" ht="15.75" customHeight="1">
      <c r="D742" s="104"/>
      <c r="F742" s="121"/>
    </row>
    <row r="743" ht="15.75" customHeight="1">
      <c r="D743" s="104"/>
      <c r="F743" s="121"/>
    </row>
    <row r="744" ht="15.75" customHeight="1">
      <c r="D744" s="104"/>
      <c r="F744" s="121"/>
    </row>
    <row r="745" ht="15.75" customHeight="1">
      <c r="D745" s="104"/>
      <c r="F745" s="121"/>
    </row>
    <row r="746" ht="15.75" customHeight="1">
      <c r="D746" s="104"/>
      <c r="F746" s="121"/>
    </row>
    <row r="747" ht="15.75" customHeight="1">
      <c r="D747" s="104"/>
      <c r="F747" s="121"/>
    </row>
    <row r="748" ht="15.75" customHeight="1">
      <c r="D748" s="104"/>
      <c r="F748" s="121"/>
    </row>
    <row r="749" ht="15.75" customHeight="1">
      <c r="D749" s="104"/>
      <c r="F749" s="121"/>
    </row>
    <row r="750" ht="15.75" customHeight="1">
      <c r="D750" s="104"/>
      <c r="F750" s="121"/>
    </row>
    <row r="751" ht="15.75" customHeight="1">
      <c r="D751" s="104"/>
      <c r="F751" s="121"/>
    </row>
    <row r="752" ht="15.75" customHeight="1">
      <c r="D752" s="104"/>
      <c r="F752" s="121"/>
    </row>
    <row r="753" ht="15.75" customHeight="1">
      <c r="D753" s="104"/>
      <c r="F753" s="121"/>
    </row>
    <row r="754" ht="15.75" customHeight="1">
      <c r="D754" s="104"/>
      <c r="F754" s="121"/>
    </row>
    <row r="755" ht="15.75" customHeight="1">
      <c r="D755" s="104"/>
      <c r="F755" s="121"/>
    </row>
    <row r="756" ht="15.75" customHeight="1">
      <c r="D756" s="104"/>
      <c r="F756" s="121"/>
    </row>
    <row r="757" ht="15.75" customHeight="1">
      <c r="D757" s="104"/>
      <c r="F757" s="121"/>
    </row>
    <row r="758" ht="15.75" customHeight="1">
      <c r="D758" s="104"/>
      <c r="F758" s="121"/>
    </row>
    <row r="759" ht="15.75" customHeight="1">
      <c r="D759" s="104"/>
      <c r="F759" s="121"/>
    </row>
    <row r="760" ht="15.75" customHeight="1">
      <c r="D760" s="104"/>
      <c r="F760" s="121"/>
    </row>
    <row r="761" ht="15.75" customHeight="1">
      <c r="D761" s="104"/>
      <c r="F761" s="121"/>
    </row>
    <row r="762" ht="15.75" customHeight="1">
      <c r="D762" s="104"/>
      <c r="F762" s="121"/>
    </row>
    <row r="763" ht="15.75" customHeight="1">
      <c r="D763" s="104"/>
      <c r="F763" s="121"/>
    </row>
    <row r="764" ht="15.75" customHeight="1">
      <c r="D764" s="104"/>
      <c r="F764" s="121"/>
    </row>
    <row r="765" ht="15.75" customHeight="1">
      <c r="D765" s="104"/>
      <c r="F765" s="121"/>
    </row>
    <row r="766" ht="15.75" customHeight="1">
      <c r="D766" s="104"/>
      <c r="F766" s="121"/>
    </row>
    <row r="767" ht="15.75" customHeight="1">
      <c r="D767" s="104"/>
      <c r="F767" s="121"/>
    </row>
    <row r="768" ht="15.75" customHeight="1">
      <c r="D768" s="104"/>
      <c r="F768" s="121"/>
    </row>
    <row r="769" ht="15.75" customHeight="1">
      <c r="D769" s="104"/>
      <c r="F769" s="121"/>
    </row>
    <row r="770" ht="15.75" customHeight="1">
      <c r="D770" s="104"/>
      <c r="F770" s="121"/>
    </row>
    <row r="771" ht="15.75" customHeight="1">
      <c r="D771" s="104"/>
      <c r="F771" s="121"/>
    </row>
    <row r="772" ht="15.75" customHeight="1">
      <c r="D772" s="104"/>
      <c r="F772" s="121"/>
    </row>
    <row r="773" ht="15.75" customHeight="1">
      <c r="D773" s="104"/>
      <c r="F773" s="121"/>
    </row>
    <row r="774" ht="15.75" customHeight="1">
      <c r="D774" s="104"/>
      <c r="F774" s="121"/>
    </row>
    <row r="775" ht="15.75" customHeight="1">
      <c r="D775" s="104"/>
      <c r="F775" s="121"/>
    </row>
    <row r="776" ht="15.75" customHeight="1">
      <c r="D776" s="104"/>
      <c r="F776" s="121"/>
    </row>
    <row r="777" ht="15.75" customHeight="1">
      <c r="D777" s="104"/>
      <c r="F777" s="121"/>
    </row>
    <row r="778" ht="15.75" customHeight="1">
      <c r="D778" s="104"/>
      <c r="F778" s="121"/>
    </row>
    <row r="779" ht="15.75" customHeight="1">
      <c r="D779" s="104"/>
      <c r="F779" s="121"/>
    </row>
    <row r="780" ht="15.75" customHeight="1">
      <c r="D780" s="104"/>
      <c r="F780" s="121"/>
    </row>
    <row r="781" ht="15.75" customHeight="1">
      <c r="D781" s="104"/>
      <c r="F781" s="121"/>
    </row>
    <row r="782" ht="15.75" customHeight="1">
      <c r="D782" s="104"/>
      <c r="F782" s="121"/>
    </row>
    <row r="783" ht="15.75" customHeight="1">
      <c r="D783" s="104"/>
      <c r="F783" s="121"/>
    </row>
    <row r="784" ht="15.75" customHeight="1">
      <c r="D784" s="104"/>
      <c r="F784" s="121"/>
    </row>
    <row r="785" ht="15.75" customHeight="1">
      <c r="D785" s="104"/>
      <c r="F785" s="121"/>
    </row>
    <row r="786" ht="15.75" customHeight="1">
      <c r="D786" s="104"/>
      <c r="F786" s="121"/>
    </row>
    <row r="787" ht="15.75" customHeight="1">
      <c r="D787" s="104"/>
      <c r="F787" s="121"/>
    </row>
    <row r="788" ht="15.75" customHeight="1">
      <c r="D788" s="104"/>
      <c r="F788" s="121"/>
    </row>
    <row r="789" ht="15.75" customHeight="1">
      <c r="D789" s="104"/>
      <c r="F789" s="121"/>
    </row>
    <row r="790" ht="15.75" customHeight="1">
      <c r="D790" s="104"/>
      <c r="F790" s="121"/>
    </row>
    <row r="791" ht="15.75" customHeight="1">
      <c r="D791" s="104"/>
      <c r="F791" s="121"/>
    </row>
    <row r="792" ht="15.75" customHeight="1">
      <c r="D792" s="104"/>
      <c r="F792" s="121"/>
    </row>
    <row r="793" ht="15.75" customHeight="1">
      <c r="D793" s="104"/>
      <c r="F793" s="121"/>
    </row>
    <row r="794" ht="15.75" customHeight="1">
      <c r="D794" s="104"/>
      <c r="F794" s="121"/>
    </row>
    <row r="795" ht="15.75" customHeight="1">
      <c r="D795" s="104"/>
      <c r="F795" s="121"/>
    </row>
    <row r="796" ht="15.75" customHeight="1">
      <c r="D796" s="104"/>
      <c r="F796" s="121"/>
    </row>
    <row r="797" ht="15.75" customHeight="1">
      <c r="D797" s="104"/>
      <c r="F797" s="121"/>
    </row>
    <row r="798" ht="15.75" customHeight="1">
      <c r="D798" s="104"/>
      <c r="F798" s="121"/>
    </row>
    <row r="799" ht="15.75" customHeight="1">
      <c r="D799" s="104"/>
      <c r="F799" s="121"/>
    </row>
    <row r="800" ht="15.75" customHeight="1">
      <c r="D800" s="104"/>
      <c r="F800" s="121"/>
    </row>
    <row r="801" ht="15.75" customHeight="1">
      <c r="D801" s="104"/>
      <c r="F801" s="121"/>
    </row>
    <row r="802" ht="15.75" customHeight="1">
      <c r="D802" s="104"/>
      <c r="F802" s="121"/>
    </row>
    <row r="803" ht="15.75" customHeight="1">
      <c r="D803" s="104"/>
      <c r="F803" s="121"/>
    </row>
    <row r="804" ht="15.75" customHeight="1">
      <c r="D804" s="104"/>
      <c r="F804" s="121"/>
    </row>
    <row r="805" ht="15.75" customHeight="1">
      <c r="D805" s="104"/>
      <c r="F805" s="121"/>
    </row>
    <row r="806" ht="15.75" customHeight="1">
      <c r="D806" s="104"/>
      <c r="F806" s="121"/>
    </row>
    <row r="807" ht="15.75" customHeight="1">
      <c r="D807" s="104"/>
      <c r="F807" s="121"/>
    </row>
    <row r="808" ht="15.75" customHeight="1">
      <c r="D808" s="104"/>
      <c r="F808" s="121"/>
    </row>
    <row r="809" ht="15.75" customHeight="1">
      <c r="D809" s="104"/>
      <c r="F809" s="121"/>
    </row>
    <row r="810" ht="15.75" customHeight="1">
      <c r="D810" s="104"/>
      <c r="F810" s="121"/>
    </row>
    <row r="811" ht="15.75" customHeight="1">
      <c r="D811" s="104"/>
      <c r="F811" s="121"/>
    </row>
    <row r="812" ht="15.75" customHeight="1">
      <c r="D812" s="104"/>
      <c r="F812" s="121"/>
    </row>
    <row r="813" ht="15.75" customHeight="1">
      <c r="D813" s="104"/>
      <c r="F813" s="121"/>
    </row>
    <row r="814" ht="15.75" customHeight="1">
      <c r="D814" s="104"/>
      <c r="F814" s="121"/>
    </row>
    <row r="815" ht="15.75" customHeight="1">
      <c r="D815" s="104"/>
      <c r="F815" s="121"/>
    </row>
    <row r="816" ht="15.75" customHeight="1">
      <c r="D816" s="104"/>
      <c r="F816" s="121"/>
    </row>
    <row r="817" ht="15.75" customHeight="1">
      <c r="D817" s="104"/>
      <c r="F817" s="121"/>
    </row>
    <row r="818" ht="15.75" customHeight="1">
      <c r="D818" s="104"/>
      <c r="F818" s="121"/>
    </row>
    <row r="819" ht="15.75" customHeight="1">
      <c r="D819" s="104"/>
      <c r="F819" s="121"/>
    </row>
    <row r="820" ht="15.75" customHeight="1">
      <c r="D820" s="104"/>
      <c r="F820" s="121"/>
    </row>
    <row r="821" ht="15.75" customHeight="1">
      <c r="D821" s="104"/>
      <c r="F821" s="121"/>
    </row>
    <row r="822" ht="15.75" customHeight="1">
      <c r="D822" s="104"/>
      <c r="F822" s="121"/>
    </row>
    <row r="823" ht="15.75" customHeight="1">
      <c r="D823" s="104"/>
      <c r="F823" s="121"/>
    </row>
    <row r="824" ht="15.75" customHeight="1">
      <c r="D824" s="104"/>
      <c r="F824" s="121"/>
    </row>
    <row r="825" ht="15.75" customHeight="1">
      <c r="D825" s="104"/>
      <c r="F825" s="121"/>
    </row>
    <row r="826" ht="15.75" customHeight="1">
      <c r="D826" s="104"/>
      <c r="F826" s="121"/>
    </row>
    <row r="827" ht="15.75" customHeight="1">
      <c r="D827" s="104"/>
      <c r="F827" s="121"/>
    </row>
    <row r="828" ht="15.75" customHeight="1">
      <c r="D828" s="104"/>
      <c r="F828" s="121"/>
    </row>
    <row r="829" ht="15.75" customHeight="1">
      <c r="D829" s="104"/>
      <c r="F829" s="121"/>
    </row>
    <row r="830" ht="15.75" customHeight="1">
      <c r="D830" s="104"/>
      <c r="F830" s="121"/>
    </row>
    <row r="831" ht="15.75" customHeight="1">
      <c r="D831" s="104"/>
      <c r="F831" s="121"/>
    </row>
    <row r="832" ht="15.75" customHeight="1">
      <c r="D832" s="104"/>
      <c r="F832" s="121"/>
    </row>
    <row r="833" ht="15.75" customHeight="1">
      <c r="D833" s="104"/>
      <c r="F833" s="121"/>
    </row>
    <row r="834" ht="15.75" customHeight="1">
      <c r="D834" s="104"/>
      <c r="F834" s="121"/>
    </row>
    <row r="835" ht="15.75" customHeight="1">
      <c r="D835" s="104"/>
      <c r="F835" s="121"/>
    </row>
    <row r="836" ht="15.75" customHeight="1">
      <c r="D836" s="104"/>
      <c r="F836" s="121"/>
    </row>
    <row r="837" ht="15.75" customHeight="1">
      <c r="D837" s="104"/>
      <c r="F837" s="121"/>
    </row>
    <row r="838" ht="15.75" customHeight="1">
      <c r="D838" s="104"/>
      <c r="F838" s="121"/>
    </row>
    <row r="839" ht="15.75" customHeight="1">
      <c r="D839" s="104"/>
      <c r="F839" s="121"/>
    </row>
    <row r="840" ht="15.75" customHeight="1">
      <c r="D840" s="104"/>
      <c r="F840" s="121"/>
    </row>
    <row r="841" ht="15.75" customHeight="1">
      <c r="D841" s="104"/>
      <c r="F841" s="121"/>
    </row>
    <row r="842" ht="15.75" customHeight="1">
      <c r="D842" s="104"/>
      <c r="F842" s="121"/>
    </row>
    <row r="843" ht="15.75" customHeight="1">
      <c r="D843" s="104"/>
      <c r="F843" s="121"/>
    </row>
    <row r="844" ht="15.75" customHeight="1">
      <c r="D844" s="104"/>
      <c r="F844" s="121"/>
    </row>
    <row r="845" ht="15.75" customHeight="1">
      <c r="D845" s="104"/>
      <c r="F845" s="121"/>
    </row>
    <row r="846" ht="15.75" customHeight="1">
      <c r="D846" s="104"/>
      <c r="F846" s="121"/>
    </row>
    <row r="847" ht="15.75" customHeight="1">
      <c r="D847" s="104"/>
      <c r="F847" s="121"/>
    </row>
    <row r="848" ht="15.75" customHeight="1">
      <c r="D848" s="104"/>
      <c r="F848" s="121"/>
    </row>
    <row r="849" ht="15.75" customHeight="1">
      <c r="D849" s="104"/>
      <c r="F849" s="121"/>
    </row>
    <row r="850" ht="15.75" customHeight="1">
      <c r="D850" s="104"/>
      <c r="F850" s="121"/>
    </row>
    <row r="851" ht="15.75" customHeight="1">
      <c r="D851" s="104"/>
      <c r="F851" s="121"/>
    </row>
    <row r="852" ht="15.75" customHeight="1">
      <c r="D852" s="104"/>
      <c r="F852" s="121"/>
    </row>
    <row r="853" ht="15.75" customHeight="1">
      <c r="D853" s="104"/>
      <c r="F853" s="121"/>
    </row>
    <row r="854" ht="15.75" customHeight="1">
      <c r="D854" s="104"/>
      <c r="F854" s="121"/>
    </row>
    <row r="855" ht="15.75" customHeight="1">
      <c r="D855" s="104"/>
      <c r="F855" s="121"/>
    </row>
    <row r="856" ht="15.75" customHeight="1">
      <c r="D856" s="104"/>
      <c r="F856" s="121"/>
    </row>
    <row r="857" ht="15.75" customHeight="1">
      <c r="D857" s="104"/>
      <c r="F857" s="121"/>
    </row>
    <row r="858" ht="15.75" customHeight="1">
      <c r="D858" s="104"/>
      <c r="F858" s="121"/>
    </row>
    <row r="859" ht="15.75" customHeight="1">
      <c r="D859" s="104"/>
      <c r="F859" s="121"/>
    </row>
    <row r="860" ht="15.75" customHeight="1">
      <c r="D860" s="104"/>
      <c r="F860" s="121"/>
    </row>
    <row r="861" ht="15.75" customHeight="1">
      <c r="D861" s="104"/>
      <c r="F861" s="121"/>
    </row>
    <row r="862" ht="15.75" customHeight="1">
      <c r="D862" s="104"/>
      <c r="F862" s="121"/>
    </row>
    <row r="863" ht="15.75" customHeight="1">
      <c r="D863" s="104"/>
      <c r="F863" s="121"/>
    </row>
    <row r="864" ht="15.75" customHeight="1">
      <c r="D864" s="104"/>
      <c r="F864" s="121"/>
    </row>
    <row r="865" ht="15.75" customHeight="1">
      <c r="D865" s="104"/>
      <c r="F865" s="121"/>
    </row>
    <row r="866" ht="15.75" customHeight="1">
      <c r="D866" s="104"/>
      <c r="F866" s="121"/>
    </row>
    <row r="867" ht="15.75" customHeight="1">
      <c r="D867" s="104"/>
      <c r="F867" s="121"/>
    </row>
    <row r="868" ht="15.75" customHeight="1">
      <c r="D868" s="104"/>
      <c r="F868" s="121"/>
    </row>
    <row r="869" ht="15.75" customHeight="1">
      <c r="D869" s="104"/>
      <c r="F869" s="121"/>
    </row>
    <row r="870" ht="15.75" customHeight="1">
      <c r="D870" s="104"/>
      <c r="F870" s="121"/>
    </row>
    <row r="871" ht="15.75" customHeight="1">
      <c r="D871" s="104"/>
      <c r="F871" s="121"/>
    </row>
    <row r="872" ht="15.75" customHeight="1">
      <c r="D872" s="104"/>
      <c r="F872" s="121"/>
    </row>
    <row r="873" ht="15.75" customHeight="1">
      <c r="D873" s="104"/>
      <c r="F873" s="121"/>
    </row>
    <row r="874" ht="15.75" customHeight="1">
      <c r="D874" s="104"/>
      <c r="F874" s="121"/>
    </row>
    <row r="875" ht="15.75" customHeight="1">
      <c r="D875" s="104"/>
      <c r="F875" s="121"/>
    </row>
    <row r="876" ht="15.75" customHeight="1">
      <c r="D876" s="104"/>
      <c r="F876" s="121"/>
    </row>
    <row r="877" ht="15.75" customHeight="1">
      <c r="D877" s="104"/>
      <c r="F877" s="121"/>
    </row>
    <row r="878" ht="15.75" customHeight="1">
      <c r="D878" s="104"/>
      <c r="F878" s="121"/>
    </row>
    <row r="879" ht="15.75" customHeight="1">
      <c r="D879" s="104"/>
      <c r="F879" s="121"/>
    </row>
    <row r="880" ht="15.75" customHeight="1">
      <c r="D880" s="104"/>
      <c r="F880" s="121"/>
    </row>
    <row r="881" ht="15.75" customHeight="1">
      <c r="D881" s="104"/>
      <c r="F881" s="121"/>
    </row>
    <row r="882" ht="15.75" customHeight="1">
      <c r="D882" s="104"/>
      <c r="F882" s="121"/>
    </row>
    <row r="883" ht="15.75" customHeight="1">
      <c r="D883" s="104"/>
      <c r="F883" s="121"/>
    </row>
    <row r="884" ht="15.75" customHeight="1">
      <c r="D884" s="104"/>
      <c r="F884" s="121"/>
    </row>
    <row r="885" ht="15.75" customHeight="1">
      <c r="D885" s="104"/>
      <c r="F885" s="121"/>
    </row>
    <row r="886" ht="15.75" customHeight="1">
      <c r="D886" s="104"/>
      <c r="F886" s="121"/>
    </row>
    <row r="887" ht="15.75" customHeight="1">
      <c r="D887" s="104"/>
      <c r="F887" s="121"/>
    </row>
    <row r="888" ht="15.75" customHeight="1">
      <c r="D888" s="104"/>
      <c r="F888" s="121"/>
    </row>
    <row r="889" ht="15.75" customHeight="1">
      <c r="D889" s="104"/>
      <c r="F889" s="121"/>
    </row>
    <row r="890" ht="15.75" customHeight="1">
      <c r="D890" s="104"/>
      <c r="F890" s="121"/>
    </row>
    <row r="891" ht="15.75" customHeight="1">
      <c r="D891" s="104"/>
      <c r="F891" s="121"/>
    </row>
    <row r="892" ht="15.75" customHeight="1">
      <c r="D892" s="104"/>
      <c r="F892" s="121"/>
    </row>
    <row r="893" ht="15.75" customHeight="1">
      <c r="D893" s="104"/>
      <c r="F893" s="121"/>
    </row>
    <row r="894" ht="15.75" customHeight="1">
      <c r="D894" s="104"/>
      <c r="F894" s="121"/>
    </row>
    <row r="895" ht="15.75" customHeight="1">
      <c r="D895" s="104"/>
      <c r="F895" s="121"/>
    </row>
    <row r="896" ht="15.75" customHeight="1">
      <c r="D896" s="104"/>
      <c r="F896" s="121"/>
    </row>
    <row r="897" ht="15.75" customHeight="1">
      <c r="D897" s="104"/>
      <c r="F897" s="121"/>
    </row>
    <row r="898" ht="15.75" customHeight="1">
      <c r="D898" s="104"/>
      <c r="F898" s="121"/>
    </row>
    <row r="899" ht="15.75" customHeight="1">
      <c r="D899" s="104"/>
      <c r="F899" s="121"/>
    </row>
    <row r="900" ht="15.75" customHeight="1">
      <c r="D900" s="104"/>
      <c r="F900" s="121"/>
    </row>
    <row r="901" ht="15.75" customHeight="1">
      <c r="D901" s="104"/>
      <c r="F901" s="121"/>
    </row>
    <row r="902" ht="15.75" customHeight="1">
      <c r="D902" s="104"/>
      <c r="F902" s="121"/>
    </row>
    <row r="903" ht="15.75" customHeight="1">
      <c r="D903" s="104"/>
      <c r="F903" s="121"/>
    </row>
    <row r="904" ht="15.75" customHeight="1">
      <c r="D904" s="104"/>
      <c r="F904" s="121"/>
    </row>
    <row r="905" ht="15.75" customHeight="1">
      <c r="D905" s="104"/>
      <c r="F905" s="121"/>
    </row>
    <row r="906" ht="15.75" customHeight="1">
      <c r="D906" s="104"/>
      <c r="F906" s="121"/>
    </row>
    <row r="907" ht="15.75" customHeight="1">
      <c r="D907" s="104"/>
      <c r="F907" s="121"/>
    </row>
    <row r="908" ht="15.75" customHeight="1">
      <c r="D908" s="104"/>
      <c r="F908" s="121"/>
    </row>
    <row r="909" ht="15.75" customHeight="1">
      <c r="D909" s="104"/>
      <c r="F909" s="121"/>
    </row>
    <row r="910" ht="15.75" customHeight="1">
      <c r="D910" s="104"/>
      <c r="F910" s="121"/>
    </row>
    <row r="911" ht="15.75" customHeight="1">
      <c r="D911" s="104"/>
      <c r="F911" s="121"/>
    </row>
    <row r="912" ht="15.75" customHeight="1">
      <c r="D912" s="104"/>
      <c r="F912" s="121"/>
    </row>
    <row r="913" ht="15.75" customHeight="1">
      <c r="D913" s="104"/>
      <c r="F913" s="121"/>
    </row>
    <row r="914" ht="15.75" customHeight="1">
      <c r="D914" s="104"/>
      <c r="F914" s="121"/>
    </row>
    <row r="915" ht="15.75" customHeight="1">
      <c r="D915" s="104"/>
      <c r="F915" s="121"/>
    </row>
    <row r="916" ht="15.75" customHeight="1">
      <c r="D916" s="104"/>
      <c r="F916" s="121"/>
    </row>
    <row r="917" ht="15.75" customHeight="1">
      <c r="D917" s="104"/>
      <c r="F917" s="121"/>
    </row>
    <row r="918" ht="15.75" customHeight="1">
      <c r="D918" s="104"/>
      <c r="F918" s="121"/>
    </row>
    <row r="919" ht="15.75" customHeight="1">
      <c r="D919" s="104"/>
      <c r="F919" s="121"/>
    </row>
    <row r="920" ht="15.75" customHeight="1">
      <c r="D920" s="104"/>
      <c r="F920" s="121"/>
    </row>
    <row r="921" ht="15.75" customHeight="1">
      <c r="D921" s="104"/>
      <c r="F921" s="121"/>
    </row>
    <row r="922" ht="15.75" customHeight="1">
      <c r="D922" s="104"/>
      <c r="F922" s="121"/>
    </row>
    <row r="923" ht="15.75" customHeight="1">
      <c r="D923" s="104"/>
      <c r="F923" s="121"/>
    </row>
    <row r="924" ht="15.75" customHeight="1">
      <c r="D924" s="104"/>
      <c r="F924" s="121"/>
    </row>
    <row r="925" ht="15.75" customHeight="1">
      <c r="D925" s="104"/>
      <c r="F925" s="121"/>
    </row>
    <row r="926" ht="15.75" customHeight="1">
      <c r="D926" s="104"/>
      <c r="F926" s="121"/>
    </row>
    <row r="927" ht="15.75" customHeight="1">
      <c r="D927" s="104"/>
      <c r="F927" s="121"/>
    </row>
    <row r="928" ht="15.75" customHeight="1">
      <c r="D928" s="104"/>
      <c r="F928" s="121"/>
    </row>
    <row r="929" ht="15.75" customHeight="1">
      <c r="D929" s="104"/>
      <c r="F929" s="121"/>
    </row>
    <row r="930" ht="15.75" customHeight="1">
      <c r="D930" s="104"/>
      <c r="F930" s="121"/>
    </row>
    <row r="931" ht="15.75" customHeight="1">
      <c r="D931" s="104"/>
      <c r="F931" s="121"/>
    </row>
    <row r="932" ht="15.75" customHeight="1">
      <c r="D932" s="104"/>
      <c r="F932" s="121"/>
    </row>
    <row r="933" ht="15.75" customHeight="1">
      <c r="D933" s="104"/>
      <c r="F933" s="121"/>
    </row>
    <row r="934" ht="15.75" customHeight="1">
      <c r="D934" s="104"/>
      <c r="F934" s="121"/>
    </row>
    <row r="935" ht="15.75" customHeight="1">
      <c r="D935" s="104"/>
      <c r="F935" s="121"/>
    </row>
    <row r="936" ht="15.75" customHeight="1">
      <c r="D936" s="104"/>
      <c r="F936" s="121"/>
    </row>
    <row r="937" ht="15.75" customHeight="1">
      <c r="D937" s="104"/>
      <c r="F937" s="121"/>
    </row>
    <row r="938" ht="15.75" customHeight="1">
      <c r="D938" s="104"/>
      <c r="F938" s="121"/>
    </row>
    <row r="939" ht="15.75" customHeight="1">
      <c r="D939" s="104"/>
      <c r="F939" s="121"/>
    </row>
    <row r="940" ht="15.75" customHeight="1">
      <c r="D940" s="104"/>
      <c r="F940" s="121"/>
    </row>
    <row r="941" ht="15.75" customHeight="1">
      <c r="D941" s="104"/>
      <c r="F941" s="121"/>
    </row>
    <row r="942" ht="15.75" customHeight="1">
      <c r="D942" s="104"/>
      <c r="F942" s="121"/>
    </row>
    <row r="943" ht="15.75" customHeight="1">
      <c r="D943" s="104"/>
      <c r="F943" s="121"/>
    </row>
    <row r="944" ht="15.75" customHeight="1">
      <c r="D944" s="104"/>
      <c r="F944" s="121"/>
    </row>
    <row r="945" ht="15.75" customHeight="1">
      <c r="D945" s="104"/>
      <c r="F945" s="121"/>
    </row>
    <row r="946" ht="15.75" customHeight="1">
      <c r="D946" s="104"/>
      <c r="F946" s="121"/>
    </row>
    <row r="947" ht="15.75" customHeight="1">
      <c r="D947" s="104"/>
      <c r="F947" s="121"/>
    </row>
    <row r="948" ht="15.75" customHeight="1">
      <c r="D948" s="104"/>
      <c r="F948" s="121"/>
    </row>
    <row r="949" ht="15.75" customHeight="1">
      <c r="D949" s="104"/>
      <c r="F949" s="121"/>
    </row>
    <row r="950" ht="15.75" customHeight="1">
      <c r="D950" s="104"/>
      <c r="F950" s="121"/>
    </row>
    <row r="951" ht="15.75" customHeight="1">
      <c r="D951" s="104"/>
      <c r="F951" s="121"/>
    </row>
    <row r="952" ht="15.75" customHeight="1">
      <c r="D952" s="104"/>
      <c r="F952" s="121"/>
    </row>
    <row r="953" ht="15.75" customHeight="1">
      <c r="D953" s="104"/>
      <c r="F953" s="121"/>
    </row>
    <row r="954" ht="15.75" customHeight="1">
      <c r="D954" s="104"/>
      <c r="F954" s="121"/>
    </row>
    <row r="955" ht="15.75" customHeight="1">
      <c r="D955" s="104"/>
      <c r="F955" s="121"/>
    </row>
    <row r="956" ht="15.75" customHeight="1">
      <c r="D956" s="104"/>
      <c r="F956" s="121"/>
    </row>
    <row r="957" ht="15.75" customHeight="1">
      <c r="D957" s="104"/>
      <c r="F957" s="121"/>
    </row>
    <row r="958" ht="15.75" customHeight="1">
      <c r="D958" s="104"/>
      <c r="F958" s="121"/>
    </row>
    <row r="959" ht="15.75" customHeight="1">
      <c r="D959" s="104"/>
      <c r="F959" s="121"/>
    </row>
    <row r="960" ht="15.75" customHeight="1">
      <c r="D960" s="104"/>
      <c r="F960" s="121"/>
    </row>
    <row r="961" ht="15.75" customHeight="1">
      <c r="D961" s="104"/>
      <c r="F961" s="121"/>
    </row>
    <row r="962" ht="15.75" customHeight="1">
      <c r="D962" s="104"/>
      <c r="F962" s="121"/>
    </row>
    <row r="963" ht="15.75" customHeight="1">
      <c r="D963" s="104"/>
      <c r="F963" s="121"/>
    </row>
    <row r="964" ht="15.75" customHeight="1">
      <c r="D964" s="104"/>
      <c r="F964" s="121"/>
    </row>
    <row r="965" ht="15.75" customHeight="1">
      <c r="D965" s="104"/>
      <c r="F965" s="121"/>
    </row>
    <row r="966" ht="15.75" customHeight="1">
      <c r="D966" s="104"/>
      <c r="F966" s="121"/>
    </row>
    <row r="967" ht="15.75" customHeight="1">
      <c r="D967" s="104"/>
      <c r="F967" s="121"/>
    </row>
    <row r="968" ht="15.75" customHeight="1">
      <c r="D968" s="104"/>
      <c r="F968" s="121"/>
    </row>
    <row r="969" ht="15.75" customHeight="1">
      <c r="D969" s="104"/>
      <c r="F969" s="121"/>
    </row>
    <row r="970" ht="15.75" customHeight="1">
      <c r="D970" s="104"/>
      <c r="F970" s="121"/>
    </row>
    <row r="971" ht="15.75" customHeight="1">
      <c r="D971" s="104"/>
      <c r="F971" s="121"/>
    </row>
    <row r="972" ht="15.75" customHeight="1">
      <c r="D972" s="104"/>
      <c r="F972" s="121"/>
    </row>
    <row r="973" ht="15.75" customHeight="1">
      <c r="D973" s="104"/>
      <c r="F973" s="121"/>
    </row>
    <row r="974" ht="15.75" customHeight="1">
      <c r="D974" s="104"/>
      <c r="F974" s="121"/>
    </row>
    <row r="975" ht="15.75" customHeight="1">
      <c r="D975" s="104"/>
      <c r="F975" s="121"/>
    </row>
    <row r="976" ht="15.75" customHeight="1">
      <c r="D976" s="104"/>
      <c r="F976" s="121"/>
    </row>
    <row r="977" ht="15.75" customHeight="1">
      <c r="D977" s="104"/>
      <c r="F977" s="121"/>
    </row>
    <row r="978" ht="15.75" customHeight="1">
      <c r="D978" s="104"/>
      <c r="F978" s="121"/>
    </row>
    <row r="979" ht="15.75" customHeight="1">
      <c r="D979" s="104"/>
      <c r="F979" s="121"/>
    </row>
    <row r="980" ht="15.75" customHeight="1">
      <c r="D980" s="104"/>
      <c r="F980" s="121"/>
    </row>
    <row r="981" ht="15.75" customHeight="1">
      <c r="D981" s="104"/>
      <c r="F981" s="121"/>
    </row>
    <row r="982" ht="15.75" customHeight="1">
      <c r="D982" s="104"/>
      <c r="F982" s="121"/>
    </row>
    <row r="983" ht="15.75" customHeight="1">
      <c r="D983" s="104"/>
      <c r="F983" s="121"/>
    </row>
    <row r="984" ht="15.75" customHeight="1">
      <c r="D984" s="104"/>
      <c r="F984" s="121"/>
    </row>
    <row r="985" ht="15.75" customHeight="1">
      <c r="D985" s="104"/>
      <c r="F985" s="121"/>
    </row>
    <row r="986" ht="15.75" customHeight="1">
      <c r="D986" s="104"/>
      <c r="F986" s="121"/>
    </row>
    <row r="987" ht="15.75" customHeight="1">
      <c r="D987" s="104"/>
      <c r="F987" s="121"/>
    </row>
    <row r="988" ht="15.75" customHeight="1">
      <c r="D988" s="104"/>
      <c r="F988" s="121"/>
    </row>
    <row r="989" ht="15.75" customHeight="1">
      <c r="D989" s="104"/>
      <c r="F989" s="121"/>
    </row>
    <row r="990" ht="15.75" customHeight="1">
      <c r="D990" s="104"/>
      <c r="F990" s="121"/>
    </row>
    <row r="991" ht="15.75" customHeight="1">
      <c r="D991" s="104"/>
      <c r="F991" s="121"/>
    </row>
    <row r="992" ht="15.75" customHeight="1">
      <c r="D992" s="104"/>
      <c r="F992" s="121"/>
    </row>
    <row r="993" ht="15.75" customHeight="1">
      <c r="D993" s="104"/>
      <c r="F993" s="121"/>
    </row>
    <row r="994" ht="15.75" customHeight="1">
      <c r="D994" s="104"/>
      <c r="F994" s="121"/>
    </row>
    <row r="995" ht="15.75" customHeight="1">
      <c r="D995" s="104"/>
      <c r="F995" s="121"/>
    </row>
    <row r="996" ht="15.75" customHeight="1">
      <c r="D996" s="104"/>
      <c r="F996" s="121"/>
    </row>
    <row r="997" ht="15.75" customHeight="1">
      <c r="D997" s="104"/>
      <c r="F997" s="121"/>
    </row>
    <row r="998" ht="15.75" customHeight="1">
      <c r="D998" s="104"/>
      <c r="F998" s="121"/>
    </row>
    <row r="999" ht="15.75" customHeight="1">
      <c r="D999" s="104"/>
      <c r="F999" s="121"/>
    </row>
    <row r="1000" ht="15.75" customHeight="1">
      <c r="D1000" s="104"/>
      <c r="F1000" s="121"/>
    </row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7.29"/>
    <col customWidth="1" min="3" max="3" width="18.71"/>
    <col customWidth="1" min="4" max="4" width="20.0"/>
    <col customWidth="1" min="5" max="5" width="23.29"/>
    <col customWidth="1" min="6" max="6" width="27.57"/>
    <col customWidth="1" min="7" max="26" width="9.14"/>
  </cols>
  <sheetData>
    <row r="1">
      <c r="A1" s="124" t="s">
        <v>188</v>
      </c>
      <c r="B1" s="4"/>
      <c r="C1" s="4"/>
      <c r="D1" s="4"/>
      <c r="E1" s="4"/>
      <c r="F1" s="7"/>
    </row>
    <row r="2">
      <c r="A2" s="8"/>
      <c r="B2" s="9"/>
      <c r="C2" s="9"/>
      <c r="D2" s="9"/>
      <c r="E2" s="9"/>
      <c r="F2" s="14"/>
    </row>
    <row r="3">
      <c r="A3" s="108" t="s">
        <v>8</v>
      </c>
      <c r="B3" s="15" t="s">
        <v>9</v>
      </c>
      <c r="C3" s="109" t="s">
        <v>14</v>
      </c>
      <c r="D3" s="110" t="s">
        <v>15</v>
      </c>
      <c r="E3" s="108" t="s">
        <v>16</v>
      </c>
      <c r="F3" s="111" t="s">
        <v>7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23">
        <v>46241.0</v>
      </c>
      <c r="B4" s="31"/>
      <c r="C4" s="33"/>
      <c r="D4" s="38"/>
      <c r="E4" s="40">
        <v>3888.0</v>
      </c>
      <c r="F4" s="114">
        <v>48.0</v>
      </c>
    </row>
    <row r="5">
      <c r="A5" s="136">
        <v>46241.0</v>
      </c>
      <c r="B5" s="137" t="s">
        <v>32</v>
      </c>
      <c r="C5" s="138"/>
      <c r="D5" s="139">
        <v>240.0</v>
      </c>
      <c r="E5" s="58">
        <f t="shared" ref="E5:E51" si="1">E4-D5+C5</f>
        <v>3648</v>
      </c>
      <c r="F5" s="59">
        <f>E5/F4</f>
        <v>76</v>
      </c>
    </row>
    <row r="6">
      <c r="A6" s="136">
        <v>46245.0</v>
      </c>
      <c r="B6" s="140" t="s">
        <v>26</v>
      </c>
      <c r="C6" s="138"/>
      <c r="D6" s="139">
        <v>48.0</v>
      </c>
      <c r="E6" s="58">
        <f t="shared" si="1"/>
        <v>3600</v>
      </c>
      <c r="F6" s="59">
        <f>E6/F4</f>
        <v>75</v>
      </c>
    </row>
    <row r="7">
      <c r="A7" s="115"/>
      <c r="B7" s="53" t="s">
        <v>28</v>
      </c>
      <c r="C7" s="58"/>
      <c r="D7" s="139">
        <v>48.0</v>
      </c>
      <c r="E7" s="58">
        <f t="shared" si="1"/>
        <v>3552</v>
      </c>
      <c r="F7" s="59">
        <f>E7/F4</f>
        <v>74</v>
      </c>
    </row>
    <row r="8">
      <c r="A8" s="115"/>
      <c r="B8" s="132"/>
      <c r="C8" s="58"/>
      <c r="D8" s="52"/>
      <c r="E8" s="58">
        <f t="shared" si="1"/>
        <v>3552</v>
      </c>
      <c r="F8" s="59">
        <f>E8/F4</f>
        <v>74</v>
      </c>
    </row>
    <row r="9">
      <c r="A9" s="115"/>
      <c r="B9" s="132"/>
      <c r="C9" s="58"/>
      <c r="D9" s="52"/>
      <c r="E9" s="58">
        <f t="shared" si="1"/>
        <v>3552</v>
      </c>
      <c r="F9" s="59">
        <f>E9/F4</f>
        <v>74</v>
      </c>
    </row>
    <row r="10">
      <c r="A10" s="115"/>
      <c r="B10" s="132"/>
      <c r="C10" s="58"/>
      <c r="D10" s="52"/>
      <c r="E10" s="58">
        <f t="shared" si="1"/>
        <v>3552</v>
      </c>
      <c r="F10" s="59">
        <f>E10/F4</f>
        <v>74</v>
      </c>
    </row>
    <row r="11">
      <c r="A11" s="115"/>
      <c r="B11" s="132"/>
      <c r="C11" s="58"/>
      <c r="D11" s="52"/>
      <c r="E11" s="58">
        <f t="shared" si="1"/>
        <v>3552</v>
      </c>
      <c r="F11" s="59">
        <f>E11/F4</f>
        <v>74</v>
      </c>
    </row>
    <row r="12">
      <c r="A12" s="115"/>
      <c r="B12" s="132"/>
      <c r="C12" s="58"/>
      <c r="D12" s="52"/>
      <c r="E12" s="58">
        <f t="shared" si="1"/>
        <v>3552</v>
      </c>
      <c r="F12" s="59">
        <f>E12/F4</f>
        <v>74</v>
      </c>
    </row>
    <row r="13">
      <c r="A13" s="115"/>
      <c r="B13" s="132"/>
      <c r="C13" s="58"/>
      <c r="D13" s="52"/>
      <c r="E13" s="58">
        <f t="shared" si="1"/>
        <v>3552</v>
      </c>
      <c r="F13" s="59">
        <f>E13/F4</f>
        <v>74</v>
      </c>
    </row>
    <row r="14">
      <c r="A14" s="115"/>
      <c r="B14" s="132"/>
      <c r="C14" s="58"/>
      <c r="D14" s="52"/>
      <c r="E14" s="58">
        <f t="shared" si="1"/>
        <v>3552</v>
      </c>
      <c r="F14" s="59">
        <f>E14/F4</f>
        <v>74</v>
      </c>
    </row>
    <row r="15">
      <c r="A15" s="115"/>
      <c r="B15" s="90"/>
      <c r="C15" s="69"/>
      <c r="D15" s="52"/>
      <c r="E15" s="58">
        <f t="shared" si="1"/>
        <v>3552</v>
      </c>
      <c r="F15" s="59">
        <f>E15/F4</f>
        <v>74</v>
      </c>
    </row>
    <row r="16">
      <c r="A16" s="115"/>
      <c r="B16" s="90"/>
      <c r="C16" s="69"/>
      <c r="D16" s="52"/>
      <c r="E16" s="58">
        <f t="shared" si="1"/>
        <v>3552</v>
      </c>
      <c r="F16" s="59">
        <f>E16/F4</f>
        <v>74</v>
      </c>
    </row>
    <row r="17">
      <c r="A17" s="115"/>
      <c r="B17" s="90"/>
      <c r="C17" s="69"/>
      <c r="D17" s="52"/>
      <c r="E17" s="58">
        <f t="shared" si="1"/>
        <v>3552</v>
      </c>
      <c r="F17" s="59">
        <f>E17/F4</f>
        <v>74</v>
      </c>
    </row>
    <row r="18">
      <c r="A18" s="115"/>
      <c r="B18" s="90"/>
      <c r="C18" s="69"/>
      <c r="D18" s="52"/>
      <c r="E18" s="58">
        <f t="shared" si="1"/>
        <v>3552</v>
      </c>
      <c r="F18" s="59">
        <f>E18/F4</f>
        <v>74</v>
      </c>
    </row>
    <row r="19">
      <c r="A19" s="115"/>
      <c r="B19" s="90"/>
      <c r="C19" s="69"/>
      <c r="D19" s="52"/>
      <c r="E19" s="58">
        <f t="shared" si="1"/>
        <v>3552</v>
      </c>
      <c r="F19" s="59">
        <f>E19/F4</f>
        <v>74</v>
      </c>
    </row>
    <row r="20">
      <c r="A20" s="115"/>
      <c r="B20" s="90"/>
      <c r="C20" s="69"/>
      <c r="D20" s="80"/>
      <c r="E20" s="58">
        <f t="shared" si="1"/>
        <v>3552</v>
      </c>
      <c r="F20" s="59">
        <f>E20/F4</f>
        <v>74</v>
      </c>
    </row>
    <row r="21" ht="15.75" customHeight="1">
      <c r="A21" s="115"/>
      <c r="B21" s="90"/>
      <c r="C21" s="69"/>
      <c r="D21" s="80"/>
      <c r="E21" s="58">
        <f t="shared" si="1"/>
        <v>3552</v>
      </c>
      <c r="F21" s="59">
        <f>E21/F4</f>
        <v>74</v>
      </c>
    </row>
    <row r="22" ht="15.75" customHeight="1">
      <c r="A22" s="115"/>
      <c r="B22" s="90"/>
      <c r="C22" s="69"/>
      <c r="D22" s="80"/>
      <c r="E22" s="58">
        <f t="shared" si="1"/>
        <v>3552</v>
      </c>
      <c r="F22" s="59">
        <f>E22/F4</f>
        <v>74</v>
      </c>
    </row>
    <row r="23" ht="15.75" customHeight="1">
      <c r="A23" s="115"/>
      <c r="B23" s="90"/>
      <c r="C23" s="69"/>
      <c r="D23" s="80"/>
      <c r="E23" s="58">
        <f t="shared" si="1"/>
        <v>3552</v>
      </c>
      <c r="F23" s="59">
        <f>E23/F4</f>
        <v>74</v>
      </c>
    </row>
    <row r="24" ht="15.75" customHeight="1">
      <c r="A24" s="115"/>
      <c r="B24" s="90"/>
      <c r="C24" s="69"/>
      <c r="D24" s="80"/>
      <c r="E24" s="58">
        <f t="shared" si="1"/>
        <v>3552</v>
      </c>
      <c r="F24" s="59">
        <f>E24/F4</f>
        <v>74</v>
      </c>
    </row>
    <row r="25" ht="15.75" customHeight="1">
      <c r="A25" s="115"/>
      <c r="B25" s="90"/>
      <c r="C25" s="69"/>
      <c r="D25" s="80"/>
      <c r="E25" s="58">
        <f t="shared" si="1"/>
        <v>3552</v>
      </c>
      <c r="F25" s="59">
        <f>E25/F4</f>
        <v>74</v>
      </c>
    </row>
    <row r="26" ht="15.75" customHeight="1">
      <c r="A26" s="115"/>
      <c r="B26" s="90"/>
      <c r="C26" s="69"/>
      <c r="D26" s="80"/>
      <c r="E26" s="58">
        <f t="shared" si="1"/>
        <v>3552</v>
      </c>
      <c r="F26" s="59">
        <f>E26/F4</f>
        <v>74</v>
      </c>
    </row>
    <row r="27" ht="15.75" customHeight="1">
      <c r="A27" s="115"/>
      <c r="B27" s="90"/>
      <c r="C27" s="69"/>
      <c r="D27" s="80"/>
      <c r="E27" s="58">
        <f t="shared" si="1"/>
        <v>3552</v>
      </c>
      <c r="F27" s="59">
        <f>E27/F4</f>
        <v>74</v>
      </c>
    </row>
    <row r="28" ht="15.75" customHeight="1">
      <c r="A28" s="115"/>
      <c r="B28" s="90"/>
      <c r="C28" s="69"/>
      <c r="D28" s="80"/>
      <c r="E28" s="58">
        <f t="shared" si="1"/>
        <v>3552</v>
      </c>
      <c r="F28" s="59">
        <f>E28/F4</f>
        <v>74</v>
      </c>
    </row>
    <row r="29" ht="15.75" customHeight="1">
      <c r="A29" s="115"/>
      <c r="B29" s="90"/>
      <c r="C29" s="69"/>
      <c r="D29" s="80"/>
      <c r="E29" s="58">
        <f t="shared" si="1"/>
        <v>3552</v>
      </c>
      <c r="F29" s="59">
        <f>E29/F4</f>
        <v>74</v>
      </c>
    </row>
    <row r="30" ht="15.75" customHeight="1">
      <c r="A30" s="115"/>
      <c r="B30" s="90"/>
      <c r="C30" s="69"/>
      <c r="D30" s="80"/>
      <c r="E30" s="58">
        <f t="shared" si="1"/>
        <v>3552</v>
      </c>
      <c r="F30" s="59">
        <f>E30/F4</f>
        <v>74</v>
      </c>
    </row>
    <row r="31" ht="15.75" customHeight="1">
      <c r="A31" s="115"/>
      <c r="B31" s="90"/>
      <c r="C31" s="69"/>
      <c r="D31" s="80"/>
      <c r="E31" s="58">
        <f t="shared" si="1"/>
        <v>3552</v>
      </c>
      <c r="F31" s="59">
        <f>E31/F4</f>
        <v>74</v>
      </c>
    </row>
    <row r="32" ht="15.75" customHeight="1">
      <c r="A32" s="115"/>
      <c r="B32" s="90"/>
      <c r="C32" s="69"/>
      <c r="D32" s="80"/>
      <c r="E32" s="58">
        <f t="shared" si="1"/>
        <v>3552</v>
      </c>
      <c r="F32" s="59">
        <f>E32/F4</f>
        <v>74</v>
      </c>
    </row>
    <row r="33" ht="15.75" customHeight="1">
      <c r="A33" s="115"/>
      <c r="B33" s="90"/>
      <c r="C33" s="69"/>
      <c r="D33" s="70"/>
      <c r="E33" s="58">
        <f t="shared" si="1"/>
        <v>3552</v>
      </c>
      <c r="F33" s="59">
        <f>E33/F4</f>
        <v>74</v>
      </c>
    </row>
    <row r="34" ht="15.75" customHeight="1">
      <c r="A34" s="115"/>
      <c r="B34" s="90"/>
      <c r="C34" s="69"/>
      <c r="D34" s="80"/>
      <c r="E34" s="58">
        <f t="shared" si="1"/>
        <v>3552</v>
      </c>
      <c r="F34" s="59">
        <f>E34/F4</f>
        <v>74</v>
      </c>
    </row>
    <row r="35" ht="15.75" customHeight="1">
      <c r="A35" s="115"/>
      <c r="B35" s="90"/>
      <c r="C35" s="69"/>
      <c r="D35" s="80"/>
      <c r="E35" s="58">
        <f t="shared" si="1"/>
        <v>3552</v>
      </c>
      <c r="F35" s="59">
        <f>E35/F4</f>
        <v>74</v>
      </c>
    </row>
    <row r="36" ht="15.75" customHeight="1">
      <c r="A36" s="115"/>
      <c r="B36" s="90"/>
      <c r="C36" s="69"/>
      <c r="D36" s="80"/>
      <c r="E36" s="58">
        <f t="shared" si="1"/>
        <v>3552</v>
      </c>
      <c r="F36" s="59">
        <f>E36/F4</f>
        <v>74</v>
      </c>
    </row>
    <row r="37" ht="15.75" customHeight="1">
      <c r="A37" s="115"/>
      <c r="B37" s="90"/>
      <c r="C37" s="69"/>
      <c r="D37" s="80"/>
      <c r="E37" s="58">
        <f t="shared" si="1"/>
        <v>3552</v>
      </c>
      <c r="F37" s="59">
        <f>E37/F4</f>
        <v>74</v>
      </c>
    </row>
    <row r="38" ht="15.75" customHeight="1">
      <c r="A38" s="115"/>
      <c r="B38" s="90"/>
      <c r="C38" s="69"/>
      <c r="D38" s="80"/>
      <c r="E38" s="58">
        <f t="shared" si="1"/>
        <v>3552</v>
      </c>
      <c r="F38" s="59">
        <f>E38/F4</f>
        <v>74</v>
      </c>
    </row>
    <row r="39" ht="15.75" customHeight="1">
      <c r="A39" s="115"/>
      <c r="B39" s="90"/>
      <c r="C39" s="69"/>
      <c r="D39" s="80"/>
      <c r="E39" s="58">
        <f t="shared" si="1"/>
        <v>3552</v>
      </c>
      <c r="F39" s="59">
        <f>E39/F4</f>
        <v>74</v>
      </c>
    </row>
    <row r="40" ht="15.75" customHeight="1">
      <c r="A40" s="115"/>
      <c r="B40" s="90"/>
      <c r="C40" s="69"/>
      <c r="D40" s="80"/>
      <c r="E40" s="58">
        <f t="shared" si="1"/>
        <v>3552</v>
      </c>
      <c r="F40" s="59">
        <f>E40/F4</f>
        <v>74</v>
      </c>
    </row>
    <row r="41" ht="15.75" customHeight="1">
      <c r="A41" s="115"/>
      <c r="B41" s="90"/>
      <c r="C41" s="69"/>
      <c r="D41" s="80"/>
      <c r="E41" s="58">
        <f t="shared" si="1"/>
        <v>3552</v>
      </c>
      <c r="F41" s="59">
        <f>E41/F4</f>
        <v>74</v>
      </c>
    </row>
    <row r="42" ht="15.75" customHeight="1">
      <c r="A42" s="115"/>
      <c r="B42" s="90"/>
      <c r="C42" s="69"/>
      <c r="D42" s="80"/>
      <c r="E42" s="58">
        <f t="shared" si="1"/>
        <v>3552</v>
      </c>
      <c r="F42" s="59">
        <f>E42/F4</f>
        <v>74</v>
      </c>
    </row>
    <row r="43" ht="15.75" customHeight="1">
      <c r="A43" s="115"/>
      <c r="B43" s="90"/>
      <c r="C43" s="69"/>
      <c r="D43" s="80"/>
      <c r="E43" s="58">
        <f t="shared" si="1"/>
        <v>3552</v>
      </c>
      <c r="F43" s="59">
        <f>E43/F4</f>
        <v>74</v>
      </c>
    </row>
    <row r="44" ht="15.75" customHeight="1">
      <c r="A44" s="115"/>
      <c r="B44" s="90"/>
      <c r="C44" s="69"/>
      <c r="D44" s="80"/>
      <c r="E44" s="58">
        <f t="shared" si="1"/>
        <v>3552</v>
      </c>
      <c r="F44" s="59">
        <f>E44/F4</f>
        <v>74</v>
      </c>
    </row>
    <row r="45" ht="15.75" customHeight="1">
      <c r="A45" s="115"/>
      <c r="B45" s="90"/>
      <c r="C45" s="69"/>
      <c r="D45" s="80"/>
      <c r="E45" s="58">
        <f t="shared" si="1"/>
        <v>3552</v>
      </c>
      <c r="F45" s="59">
        <f>E45/F4</f>
        <v>74</v>
      </c>
    </row>
    <row r="46" ht="15.75" customHeight="1">
      <c r="A46" s="115"/>
      <c r="B46" s="90"/>
      <c r="C46" s="69"/>
      <c r="D46" s="80"/>
      <c r="E46" s="58">
        <f t="shared" si="1"/>
        <v>3552</v>
      </c>
      <c r="F46" s="59">
        <f>E46/F4</f>
        <v>74</v>
      </c>
    </row>
    <row r="47" ht="15.75" customHeight="1">
      <c r="A47" s="115"/>
      <c r="B47" s="90"/>
      <c r="C47" s="69"/>
      <c r="D47" s="80"/>
      <c r="E47" s="58">
        <f t="shared" si="1"/>
        <v>3552</v>
      </c>
      <c r="F47" s="59">
        <f>E47/F4</f>
        <v>74</v>
      </c>
    </row>
    <row r="48" ht="15.75" customHeight="1">
      <c r="A48" s="115"/>
      <c r="B48" s="90"/>
      <c r="C48" s="69"/>
      <c r="D48" s="80"/>
      <c r="E48" s="58">
        <f t="shared" si="1"/>
        <v>3552</v>
      </c>
      <c r="F48" s="59">
        <f>E48/F4</f>
        <v>74</v>
      </c>
    </row>
    <row r="49" ht="15.75" customHeight="1">
      <c r="A49" s="115"/>
      <c r="B49" s="90"/>
      <c r="C49" s="69"/>
      <c r="D49" s="80"/>
      <c r="E49" s="58">
        <f t="shared" si="1"/>
        <v>3552</v>
      </c>
      <c r="F49" s="59">
        <f>E49/F4</f>
        <v>74</v>
      </c>
    </row>
    <row r="50" ht="15.75" customHeight="1">
      <c r="A50" s="115"/>
      <c r="B50" s="90"/>
      <c r="C50" s="69"/>
      <c r="D50" s="80"/>
      <c r="E50" s="58">
        <f t="shared" si="1"/>
        <v>3552</v>
      </c>
      <c r="F50" s="59">
        <f>E50/F4</f>
        <v>74</v>
      </c>
    </row>
    <row r="51" ht="15.75" customHeight="1">
      <c r="A51" s="90"/>
      <c r="B51" s="90"/>
      <c r="C51" s="69"/>
      <c r="D51" s="80"/>
      <c r="E51" s="58">
        <f t="shared" si="1"/>
        <v>3552</v>
      </c>
      <c r="F51" s="59">
        <f>E51/F4</f>
        <v>74</v>
      </c>
    </row>
    <row r="52" ht="15.75" customHeight="1">
      <c r="A52" s="120"/>
      <c r="B52" s="120"/>
      <c r="D52" s="98"/>
      <c r="F52" s="121"/>
    </row>
    <row r="53" ht="15.75" customHeight="1">
      <c r="A53" s="120"/>
      <c r="B53" s="120"/>
      <c r="D53" s="98"/>
      <c r="F53" s="121"/>
    </row>
    <row r="54" ht="15.75" customHeight="1">
      <c r="A54" s="120"/>
      <c r="B54" s="120"/>
      <c r="D54" s="98"/>
      <c r="F54" s="121"/>
    </row>
    <row r="55" ht="15.75" customHeight="1">
      <c r="A55" s="120"/>
      <c r="B55" s="120"/>
      <c r="D55" s="98"/>
      <c r="F55" s="121"/>
    </row>
    <row r="56" ht="15.75" customHeight="1">
      <c r="A56" s="120"/>
      <c r="B56" s="120"/>
      <c r="D56" s="98"/>
      <c r="F56" s="121"/>
    </row>
    <row r="57" ht="15.75" customHeight="1">
      <c r="A57" s="120"/>
      <c r="B57" s="120"/>
      <c r="D57" s="98"/>
      <c r="F57" s="121"/>
    </row>
    <row r="58" ht="15.75" customHeight="1">
      <c r="A58" s="120"/>
      <c r="B58" s="120"/>
      <c r="D58" s="98"/>
      <c r="F58" s="121"/>
    </row>
    <row r="59" ht="15.75" customHeight="1">
      <c r="A59" s="120"/>
      <c r="B59" s="120"/>
      <c r="D59" s="98"/>
      <c r="F59" s="121"/>
    </row>
    <row r="60" ht="15.75" customHeight="1">
      <c r="A60" s="120"/>
      <c r="B60" s="120"/>
      <c r="D60" s="98"/>
      <c r="F60" s="121"/>
    </row>
    <row r="61" ht="15.75" customHeight="1">
      <c r="A61" s="120"/>
      <c r="B61" s="120"/>
      <c r="D61" s="98"/>
      <c r="F61" s="121"/>
    </row>
    <row r="62" ht="15.75" customHeight="1">
      <c r="A62" s="120"/>
      <c r="B62" s="120"/>
      <c r="D62" s="98"/>
      <c r="F62" s="121"/>
    </row>
    <row r="63" ht="15.75" customHeight="1">
      <c r="A63" s="120"/>
      <c r="B63" s="120"/>
      <c r="D63" s="98"/>
      <c r="F63" s="121"/>
    </row>
    <row r="64" ht="15.75" customHeight="1">
      <c r="A64" s="120"/>
      <c r="B64" s="120"/>
      <c r="D64" s="98"/>
      <c r="F64" s="121"/>
    </row>
    <row r="65" ht="15.75" customHeight="1">
      <c r="A65" s="120"/>
      <c r="B65" s="120"/>
      <c r="D65" s="98"/>
      <c r="F65" s="121"/>
    </row>
    <row r="66" ht="15.75" customHeight="1">
      <c r="A66" s="120"/>
      <c r="B66" s="120"/>
      <c r="D66" s="98"/>
      <c r="F66" s="121"/>
    </row>
    <row r="67" ht="15.75" customHeight="1">
      <c r="A67" s="120"/>
      <c r="B67" s="120"/>
      <c r="D67" s="98"/>
      <c r="F67" s="121"/>
    </row>
    <row r="68" ht="15.75" customHeight="1">
      <c r="A68" s="120"/>
      <c r="B68" s="120"/>
      <c r="D68" s="98"/>
      <c r="F68" s="121"/>
    </row>
    <row r="69" ht="15.75" customHeight="1">
      <c r="A69" s="120"/>
      <c r="B69" s="120"/>
      <c r="D69" s="98"/>
      <c r="F69" s="121"/>
    </row>
    <row r="70" ht="15.75" customHeight="1">
      <c r="A70" s="120"/>
      <c r="B70" s="120"/>
      <c r="D70" s="98"/>
      <c r="F70" s="121"/>
    </row>
    <row r="71" ht="15.75" customHeight="1">
      <c r="A71" s="120"/>
      <c r="B71" s="120"/>
      <c r="D71" s="98"/>
      <c r="F71" s="121"/>
    </row>
    <row r="72" ht="15.75" customHeight="1">
      <c r="A72" s="120"/>
      <c r="B72" s="120"/>
      <c r="D72" s="98"/>
      <c r="F72" s="121"/>
    </row>
    <row r="73" ht="15.75" customHeight="1">
      <c r="A73" s="120"/>
      <c r="B73" s="120"/>
      <c r="D73" s="98"/>
      <c r="F73" s="121"/>
    </row>
    <row r="74" ht="15.75" customHeight="1">
      <c r="A74" s="120"/>
      <c r="B74" s="120"/>
      <c r="D74" s="98"/>
      <c r="F74" s="121"/>
    </row>
    <row r="75" ht="15.75" customHeight="1">
      <c r="A75" s="120"/>
      <c r="B75" s="120"/>
      <c r="D75" s="98"/>
      <c r="F75" s="121"/>
    </row>
    <row r="76" ht="15.75" customHeight="1">
      <c r="A76" s="120"/>
      <c r="B76" s="120"/>
      <c r="D76" s="98"/>
      <c r="F76" s="121"/>
    </row>
    <row r="77" ht="15.75" customHeight="1">
      <c r="A77" s="120"/>
      <c r="B77" s="120"/>
      <c r="D77" s="98"/>
      <c r="F77" s="121"/>
    </row>
    <row r="78" ht="15.75" customHeight="1">
      <c r="D78" s="98"/>
      <c r="F78" s="121"/>
    </row>
    <row r="79" ht="15.75" customHeight="1">
      <c r="D79" s="98"/>
      <c r="F79" s="121"/>
    </row>
    <row r="80" ht="15.75" customHeight="1">
      <c r="D80" s="98"/>
      <c r="F80" s="121"/>
    </row>
    <row r="81" ht="15.75" customHeight="1">
      <c r="D81" s="98"/>
      <c r="F81" s="121"/>
    </row>
    <row r="82" ht="15.75" customHeight="1">
      <c r="D82" s="98"/>
      <c r="F82" s="121"/>
    </row>
    <row r="83" ht="15.75" customHeight="1">
      <c r="D83" s="98"/>
      <c r="F83" s="121"/>
    </row>
    <row r="84" ht="15.75" customHeight="1">
      <c r="D84" s="98"/>
      <c r="F84" s="121"/>
    </row>
    <row r="85" ht="15.75" customHeight="1">
      <c r="D85" s="98"/>
      <c r="F85" s="121"/>
    </row>
    <row r="86" ht="15.75" customHeight="1">
      <c r="D86" s="98"/>
      <c r="F86" s="121"/>
    </row>
    <row r="87" ht="15.75" customHeight="1">
      <c r="D87" s="98"/>
      <c r="F87" s="121"/>
    </row>
    <row r="88" ht="15.75" customHeight="1">
      <c r="D88" s="98"/>
      <c r="F88" s="121"/>
    </row>
    <row r="89" ht="15.75" customHeight="1">
      <c r="D89" s="98"/>
      <c r="F89" s="121"/>
    </row>
    <row r="90" ht="15.75" customHeight="1">
      <c r="D90" s="98"/>
      <c r="F90" s="121"/>
    </row>
    <row r="91" ht="15.75" customHeight="1">
      <c r="D91" s="98"/>
      <c r="F91" s="121"/>
    </row>
    <row r="92" ht="15.75" customHeight="1">
      <c r="D92" s="98"/>
      <c r="F92" s="121"/>
    </row>
    <row r="93" ht="15.75" customHeight="1">
      <c r="D93" s="98"/>
      <c r="F93" s="121"/>
    </row>
    <row r="94" ht="15.75" customHeight="1">
      <c r="D94" s="98"/>
      <c r="F94" s="121"/>
    </row>
    <row r="95" ht="15.75" customHeight="1">
      <c r="D95" s="98"/>
      <c r="F95" s="121"/>
    </row>
    <row r="96" ht="15.75" customHeight="1">
      <c r="D96" s="98"/>
      <c r="F96" s="121"/>
    </row>
    <row r="97" ht="15.75" customHeight="1">
      <c r="D97" s="98"/>
      <c r="F97" s="121"/>
    </row>
    <row r="98" ht="15.75" customHeight="1">
      <c r="D98" s="98"/>
      <c r="F98" s="121"/>
    </row>
    <row r="99" ht="15.75" customHeight="1">
      <c r="D99" s="98"/>
      <c r="F99" s="121"/>
    </row>
    <row r="100" ht="15.75" customHeight="1">
      <c r="D100" s="98"/>
      <c r="F100" s="121"/>
    </row>
    <row r="101" ht="15.75" customHeight="1">
      <c r="D101" s="98"/>
      <c r="F101" s="121"/>
    </row>
    <row r="102" ht="15.75" customHeight="1">
      <c r="D102" s="98"/>
      <c r="F102" s="121"/>
    </row>
    <row r="103" ht="15.75" customHeight="1">
      <c r="D103" s="98"/>
      <c r="F103" s="121"/>
    </row>
    <row r="104" ht="15.75" customHeight="1">
      <c r="D104" s="98"/>
      <c r="F104" s="121"/>
    </row>
    <row r="105" ht="15.75" customHeight="1">
      <c r="D105" s="98"/>
      <c r="F105" s="121"/>
    </row>
    <row r="106" ht="15.75" customHeight="1">
      <c r="D106" s="98"/>
      <c r="F106" s="121"/>
    </row>
    <row r="107" ht="15.75" customHeight="1">
      <c r="D107" s="98"/>
      <c r="F107" s="121"/>
    </row>
    <row r="108" ht="15.75" customHeight="1">
      <c r="D108" s="98"/>
      <c r="F108" s="121"/>
    </row>
    <row r="109" ht="15.75" customHeight="1">
      <c r="D109" s="98"/>
      <c r="F109" s="121"/>
    </row>
    <row r="110" ht="15.75" customHeight="1">
      <c r="D110" s="98"/>
      <c r="F110" s="121"/>
    </row>
    <row r="111" ht="15.75" customHeight="1">
      <c r="D111" s="98"/>
      <c r="F111" s="121"/>
    </row>
    <row r="112" ht="15.75" customHeight="1">
      <c r="D112" s="98"/>
      <c r="F112" s="121"/>
    </row>
    <row r="113" ht="15.75" customHeight="1">
      <c r="D113" s="98"/>
      <c r="F113" s="121"/>
    </row>
    <row r="114" ht="15.75" customHeight="1">
      <c r="D114" s="98"/>
      <c r="F114" s="121"/>
    </row>
    <row r="115" ht="15.75" customHeight="1">
      <c r="D115" s="98"/>
      <c r="F115" s="121"/>
    </row>
    <row r="116" ht="15.75" customHeight="1">
      <c r="D116" s="98"/>
      <c r="F116" s="121"/>
    </row>
    <row r="117" ht="15.75" customHeight="1">
      <c r="D117" s="98"/>
      <c r="F117" s="121"/>
    </row>
    <row r="118" ht="15.75" customHeight="1">
      <c r="D118" s="98"/>
      <c r="F118" s="121"/>
    </row>
    <row r="119" ht="15.75" customHeight="1">
      <c r="D119" s="98"/>
      <c r="F119" s="121"/>
    </row>
    <row r="120" ht="15.75" customHeight="1">
      <c r="D120" s="98"/>
      <c r="F120" s="121"/>
    </row>
    <row r="121" ht="15.75" customHeight="1">
      <c r="D121" s="98"/>
      <c r="F121" s="121"/>
    </row>
    <row r="122" ht="15.75" customHeight="1">
      <c r="D122" s="98"/>
      <c r="F122" s="121"/>
    </row>
    <row r="123" ht="15.75" customHeight="1">
      <c r="D123" s="98"/>
      <c r="F123" s="121"/>
    </row>
    <row r="124" ht="15.75" customHeight="1">
      <c r="D124" s="98"/>
      <c r="F124" s="121"/>
    </row>
    <row r="125" ht="15.75" customHeight="1">
      <c r="D125" s="98"/>
      <c r="F125" s="121"/>
    </row>
    <row r="126" ht="15.75" customHeight="1">
      <c r="D126" s="98"/>
      <c r="F126" s="121"/>
    </row>
    <row r="127" ht="15.75" customHeight="1">
      <c r="D127" s="98"/>
      <c r="F127" s="121"/>
    </row>
    <row r="128" ht="15.75" customHeight="1">
      <c r="D128" s="98"/>
      <c r="F128" s="121"/>
    </row>
    <row r="129" ht="15.75" customHeight="1">
      <c r="D129" s="98"/>
      <c r="F129" s="121"/>
    </row>
    <row r="130" ht="15.75" customHeight="1">
      <c r="D130" s="98"/>
      <c r="F130" s="121"/>
    </row>
    <row r="131" ht="15.75" customHeight="1">
      <c r="D131" s="98"/>
      <c r="F131" s="121"/>
    </row>
    <row r="132" ht="15.75" customHeight="1">
      <c r="D132" s="98"/>
      <c r="F132" s="121"/>
    </row>
    <row r="133" ht="15.75" customHeight="1">
      <c r="D133" s="98"/>
      <c r="F133" s="121"/>
    </row>
    <row r="134" ht="15.75" customHeight="1">
      <c r="D134" s="98"/>
      <c r="F134" s="121"/>
    </row>
    <row r="135" ht="15.75" customHeight="1">
      <c r="D135" s="98"/>
      <c r="F135" s="121"/>
    </row>
    <row r="136" ht="15.75" customHeight="1">
      <c r="D136" s="98"/>
      <c r="F136" s="121"/>
    </row>
    <row r="137" ht="15.75" customHeight="1">
      <c r="D137" s="98"/>
      <c r="F137" s="121"/>
    </row>
    <row r="138" ht="15.75" customHeight="1">
      <c r="D138" s="98"/>
      <c r="F138" s="121"/>
    </row>
    <row r="139" ht="15.75" customHeight="1">
      <c r="D139" s="98"/>
      <c r="F139" s="121"/>
    </row>
    <row r="140" ht="15.75" customHeight="1">
      <c r="D140" s="98"/>
      <c r="F140" s="121"/>
    </row>
    <row r="141" ht="15.75" customHeight="1">
      <c r="D141" s="98"/>
      <c r="F141" s="121"/>
    </row>
    <row r="142" ht="15.75" customHeight="1">
      <c r="D142" s="98"/>
      <c r="F142" s="121"/>
    </row>
    <row r="143" ht="15.75" customHeight="1">
      <c r="D143" s="98"/>
      <c r="F143" s="121"/>
    </row>
    <row r="144" ht="15.75" customHeight="1">
      <c r="D144" s="98"/>
      <c r="F144" s="121"/>
    </row>
    <row r="145" ht="15.75" customHeight="1">
      <c r="D145" s="98"/>
      <c r="F145" s="121"/>
    </row>
    <row r="146" ht="15.75" customHeight="1">
      <c r="D146" s="98"/>
      <c r="F146" s="121"/>
    </row>
    <row r="147" ht="15.75" customHeight="1">
      <c r="D147" s="98"/>
      <c r="F147" s="121"/>
    </row>
    <row r="148" ht="15.75" customHeight="1">
      <c r="D148" s="98"/>
      <c r="F148" s="121"/>
    </row>
    <row r="149" ht="15.75" customHeight="1">
      <c r="D149" s="98"/>
      <c r="F149" s="121"/>
    </row>
    <row r="150" ht="15.75" customHeight="1">
      <c r="D150" s="98"/>
      <c r="F150" s="121"/>
    </row>
    <row r="151" ht="15.75" customHeight="1">
      <c r="D151" s="98"/>
      <c r="F151" s="121"/>
    </row>
    <row r="152" ht="15.75" customHeight="1">
      <c r="D152" s="98"/>
      <c r="F152" s="121"/>
    </row>
    <row r="153" ht="15.75" customHeight="1">
      <c r="D153" s="98"/>
      <c r="F153" s="121"/>
    </row>
    <row r="154" ht="15.75" customHeight="1">
      <c r="D154" s="98"/>
      <c r="F154" s="121"/>
    </row>
    <row r="155" ht="15.75" customHeight="1">
      <c r="D155" s="98"/>
      <c r="F155" s="121"/>
    </row>
    <row r="156" ht="15.75" customHeight="1">
      <c r="D156" s="98"/>
      <c r="F156" s="121"/>
    </row>
    <row r="157" ht="15.75" customHeight="1">
      <c r="D157" s="98"/>
      <c r="F157" s="121"/>
    </row>
    <row r="158" ht="15.75" customHeight="1">
      <c r="D158" s="98"/>
      <c r="F158" s="121"/>
    </row>
    <row r="159" ht="15.75" customHeight="1">
      <c r="D159" s="98"/>
      <c r="F159" s="121"/>
    </row>
    <row r="160" ht="15.75" customHeight="1">
      <c r="D160" s="98"/>
      <c r="F160" s="121"/>
    </row>
    <row r="161" ht="15.75" customHeight="1">
      <c r="D161" s="98"/>
      <c r="F161" s="121"/>
    </row>
    <row r="162" ht="15.75" customHeight="1">
      <c r="D162" s="98"/>
      <c r="F162" s="121"/>
    </row>
    <row r="163" ht="15.75" customHeight="1">
      <c r="D163" s="98"/>
      <c r="F163" s="121"/>
    </row>
    <row r="164" ht="15.75" customHeight="1">
      <c r="D164" s="98"/>
      <c r="F164" s="121"/>
    </row>
    <row r="165" ht="15.75" customHeight="1">
      <c r="D165" s="98"/>
      <c r="F165" s="121"/>
    </row>
    <row r="166" ht="15.75" customHeight="1">
      <c r="D166" s="98"/>
      <c r="F166" s="121"/>
    </row>
    <row r="167" ht="15.75" customHeight="1">
      <c r="D167" s="98"/>
      <c r="F167" s="121"/>
    </row>
    <row r="168" ht="15.75" customHeight="1">
      <c r="D168" s="98"/>
      <c r="F168" s="121"/>
    </row>
    <row r="169" ht="15.75" customHeight="1">
      <c r="D169" s="98"/>
      <c r="F169" s="121"/>
    </row>
    <row r="170" ht="15.75" customHeight="1">
      <c r="D170" s="98"/>
      <c r="F170" s="121"/>
    </row>
    <row r="171" ht="15.75" customHeight="1">
      <c r="D171" s="98"/>
      <c r="F171" s="121"/>
    </row>
    <row r="172" ht="15.75" customHeight="1">
      <c r="D172" s="98"/>
      <c r="F172" s="121"/>
    </row>
    <row r="173" ht="15.75" customHeight="1">
      <c r="D173" s="98"/>
      <c r="F173" s="121"/>
    </row>
    <row r="174" ht="15.75" customHeight="1">
      <c r="D174" s="98"/>
      <c r="F174" s="121"/>
    </row>
    <row r="175" ht="15.75" customHeight="1">
      <c r="D175" s="98"/>
      <c r="F175" s="121"/>
    </row>
    <row r="176" ht="15.75" customHeight="1">
      <c r="D176" s="98"/>
      <c r="F176" s="121"/>
    </row>
    <row r="177" ht="15.75" customHeight="1">
      <c r="D177" s="98"/>
      <c r="F177" s="121"/>
    </row>
    <row r="178" ht="15.75" customHeight="1">
      <c r="D178" s="98"/>
      <c r="F178" s="121"/>
    </row>
    <row r="179" ht="15.75" customHeight="1">
      <c r="D179" s="98"/>
      <c r="F179" s="121"/>
    </row>
    <row r="180" ht="15.75" customHeight="1">
      <c r="D180" s="98"/>
      <c r="F180" s="121"/>
    </row>
    <row r="181" ht="15.75" customHeight="1">
      <c r="D181" s="98"/>
      <c r="F181" s="121"/>
    </row>
    <row r="182" ht="15.75" customHeight="1">
      <c r="D182" s="98"/>
      <c r="F182" s="121"/>
    </row>
    <row r="183" ht="15.75" customHeight="1">
      <c r="D183" s="98"/>
      <c r="F183" s="121"/>
    </row>
    <row r="184" ht="15.75" customHeight="1">
      <c r="D184" s="98"/>
      <c r="F184" s="121"/>
    </row>
    <row r="185" ht="15.75" customHeight="1">
      <c r="D185" s="98"/>
      <c r="F185" s="121"/>
    </row>
    <row r="186" ht="15.75" customHeight="1">
      <c r="D186" s="98"/>
      <c r="F186" s="121"/>
    </row>
    <row r="187" ht="15.75" customHeight="1">
      <c r="D187" s="98"/>
      <c r="F187" s="121"/>
    </row>
    <row r="188" ht="15.75" customHeight="1">
      <c r="D188" s="98"/>
      <c r="F188" s="121"/>
    </row>
    <row r="189" ht="15.75" customHeight="1">
      <c r="D189" s="98"/>
      <c r="F189" s="121"/>
    </row>
    <row r="190" ht="15.75" customHeight="1">
      <c r="D190" s="98"/>
      <c r="F190" s="121"/>
    </row>
    <row r="191" ht="15.75" customHeight="1">
      <c r="D191" s="98"/>
      <c r="F191" s="121"/>
    </row>
    <row r="192" ht="15.75" customHeight="1">
      <c r="D192" s="98"/>
      <c r="F192" s="121"/>
    </row>
    <row r="193" ht="15.75" customHeight="1">
      <c r="D193" s="98"/>
      <c r="F193" s="121"/>
    </row>
    <row r="194" ht="15.75" customHeight="1">
      <c r="D194" s="98"/>
      <c r="F194" s="121"/>
    </row>
    <row r="195" ht="15.75" customHeight="1">
      <c r="D195" s="98"/>
      <c r="F195" s="121"/>
    </row>
    <row r="196" ht="15.75" customHeight="1">
      <c r="D196" s="98"/>
      <c r="F196" s="121"/>
    </row>
    <row r="197" ht="15.75" customHeight="1">
      <c r="D197" s="98"/>
      <c r="F197" s="121"/>
    </row>
    <row r="198" ht="15.75" customHeight="1">
      <c r="D198" s="98"/>
      <c r="F198" s="121"/>
    </row>
    <row r="199" ht="15.75" customHeight="1">
      <c r="D199" s="98"/>
      <c r="F199" s="121"/>
    </row>
    <row r="200" ht="15.75" customHeight="1">
      <c r="D200" s="98"/>
      <c r="F200" s="121"/>
    </row>
    <row r="201" ht="15.75" customHeight="1">
      <c r="D201" s="98"/>
      <c r="F201" s="121"/>
    </row>
    <row r="202" ht="15.75" customHeight="1">
      <c r="D202" s="98"/>
      <c r="F202" s="121"/>
    </row>
    <row r="203" ht="15.75" customHeight="1">
      <c r="D203" s="98"/>
      <c r="F203" s="121"/>
    </row>
    <row r="204" ht="15.75" customHeight="1">
      <c r="D204" s="98"/>
      <c r="F204" s="121"/>
    </row>
    <row r="205" ht="15.75" customHeight="1">
      <c r="D205" s="98"/>
      <c r="F205" s="121"/>
    </row>
    <row r="206" ht="15.75" customHeight="1">
      <c r="D206" s="98"/>
      <c r="F206" s="121"/>
    </row>
    <row r="207" ht="15.75" customHeight="1">
      <c r="D207" s="98"/>
      <c r="F207" s="121"/>
    </row>
    <row r="208" ht="15.75" customHeight="1">
      <c r="D208" s="98"/>
      <c r="F208" s="121"/>
    </row>
    <row r="209" ht="15.75" customHeight="1">
      <c r="D209" s="98"/>
      <c r="F209" s="121"/>
    </row>
    <row r="210" ht="15.75" customHeight="1">
      <c r="D210" s="98"/>
      <c r="F210" s="121"/>
    </row>
    <row r="211" ht="15.75" customHeight="1">
      <c r="D211" s="98"/>
      <c r="F211" s="121"/>
    </row>
    <row r="212" ht="15.75" customHeight="1">
      <c r="D212" s="98"/>
      <c r="F212" s="121"/>
    </row>
    <row r="213" ht="15.75" customHeight="1">
      <c r="D213" s="98"/>
      <c r="F213" s="121"/>
    </row>
    <row r="214" ht="15.75" customHeight="1">
      <c r="D214" s="98"/>
      <c r="F214" s="121"/>
    </row>
    <row r="215" ht="15.75" customHeight="1">
      <c r="D215" s="98"/>
      <c r="F215" s="121"/>
    </row>
    <row r="216" ht="15.75" customHeight="1">
      <c r="D216" s="98"/>
      <c r="F216" s="121"/>
    </row>
    <row r="217" ht="15.75" customHeight="1">
      <c r="D217" s="98"/>
      <c r="F217" s="121"/>
    </row>
    <row r="218" ht="15.75" customHeight="1">
      <c r="D218" s="98"/>
      <c r="F218" s="121"/>
    </row>
    <row r="219" ht="15.75" customHeight="1">
      <c r="D219" s="98"/>
      <c r="F219" s="121"/>
    </row>
    <row r="220" ht="15.75" customHeight="1">
      <c r="D220" s="98"/>
      <c r="F220" s="121"/>
    </row>
    <row r="221" ht="15.75" customHeight="1">
      <c r="D221" s="98"/>
      <c r="F221" s="121"/>
    </row>
    <row r="222" ht="15.75" customHeight="1">
      <c r="D222" s="98"/>
      <c r="F222" s="121"/>
    </row>
    <row r="223" ht="15.75" customHeight="1">
      <c r="D223" s="98"/>
      <c r="F223" s="121"/>
    </row>
    <row r="224" ht="15.75" customHeight="1">
      <c r="D224" s="98"/>
      <c r="F224" s="121"/>
    </row>
    <row r="225" ht="15.75" customHeight="1">
      <c r="D225" s="98"/>
      <c r="F225" s="121"/>
    </row>
    <row r="226" ht="15.75" customHeight="1">
      <c r="D226" s="98"/>
      <c r="F226" s="121"/>
    </row>
    <row r="227" ht="15.75" customHeight="1">
      <c r="D227" s="98"/>
      <c r="F227" s="121"/>
    </row>
    <row r="228" ht="15.75" customHeight="1">
      <c r="D228" s="98"/>
      <c r="F228" s="121"/>
    </row>
    <row r="229" ht="15.75" customHeight="1">
      <c r="D229" s="98"/>
      <c r="F229" s="121"/>
    </row>
    <row r="230" ht="15.75" customHeight="1">
      <c r="D230" s="98"/>
      <c r="F230" s="121"/>
    </row>
    <row r="231" ht="15.75" customHeight="1">
      <c r="D231" s="98"/>
      <c r="F231" s="121"/>
    </row>
    <row r="232" ht="15.75" customHeight="1">
      <c r="D232" s="98"/>
      <c r="F232" s="121"/>
    </row>
    <row r="233" ht="15.75" customHeight="1">
      <c r="D233" s="98"/>
      <c r="F233" s="121"/>
    </row>
    <row r="234" ht="15.75" customHeight="1">
      <c r="D234" s="98"/>
      <c r="F234" s="121"/>
    </row>
    <row r="235" ht="15.75" customHeight="1">
      <c r="D235" s="98"/>
      <c r="F235" s="121"/>
    </row>
    <row r="236" ht="15.75" customHeight="1">
      <c r="D236" s="98"/>
      <c r="F236" s="121"/>
    </row>
    <row r="237" ht="15.75" customHeight="1">
      <c r="D237" s="98"/>
      <c r="F237" s="121"/>
    </row>
    <row r="238" ht="15.75" customHeight="1">
      <c r="D238" s="98"/>
      <c r="F238" s="121"/>
    </row>
    <row r="239" ht="15.75" customHeight="1">
      <c r="D239" s="98"/>
      <c r="F239" s="121"/>
    </row>
    <row r="240" ht="15.75" customHeight="1">
      <c r="D240" s="98"/>
      <c r="F240" s="121"/>
    </row>
    <row r="241" ht="15.75" customHeight="1">
      <c r="D241" s="98"/>
      <c r="F241" s="121"/>
    </row>
    <row r="242" ht="15.75" customHeight="1">
      <c r="D242" s="98"/>
      <c r="F242" s="121"/>
    </row>
    <row r="243" ht="15.75" customHeight="1">
      <c r="D243" s="98"/>
      <c r="F243" s="121"/>
    </row>
    <row r="244" ht="15.75" customHeight="1">
      <c r="D244" s="98"/>
      <c r="F244" s="121"/>
    </row>
    <row r="245" ht="15.75" customHeight="1">
      <c r="D245" s="98"/>
      <c r="F245" s="121"/>
    </row>
    <row r="246" ht="15.75" customHeight="1">
      <c r="D246" s="98"/>
      <c r="F246" s="121"/>
    </row>
    <row r="247" ht="15.75" customHeight="1">
      <c r="D247" s="98"/>
      <c r="F247" s="121"/>
    </row>
    <row r="248" ht="15.75" customHeight="1">
      <c r="D248" s="98"/>
      <c r="F248" s="121"/>
    </row>
    <row r="249" ht="15.75" customHeight="1">
      <c r="D249" s="98"/>
      <c r="F249" s="121"/>
    </row>
    <row r="250" ht="15.75" customHeight="1">
      <c r="D250" s="98"/>
      <c r="F250" s="121"/>
    </row>
    <row r="251" ht="15.75" customHeight="1">
      <c r="D251" s="98"/>
      <c r="F251" s="121"/>
    </row>
    <row r="252" ht="15.75" customHeight="1">
      <c r="D252" s="98"/>
      <c r="F252" s="121"/>
    </row>
    <row r="253" ht="15.75" customHeight="1">
      <c r="D253" s="98"/>
      <c r="F253" s="121"/>
    </row>
    <row r="254" ht="15.75" customHeight="1">
      <c r="D254" s="98"/>
      <c r="F254" s="121"/>
    </row>
    <row r="255" ht="15.75" customHeight="1">
      <c r="D255" s="98"/>
      <c r="F255" s="121"/>
    </row>
    <row r="256" ht="15.75" customHeight="1">
      <c r="D256" s="98"/>
      <c r="F256" s="121"/>
    </row>
    <row r="257" ht="15.75" customHeight="1">
      <c r="D257" s="98"/>
      <c r="F257" s="121"/>
    </row>
    <row r="258" ht="15.75" customHeight="1">
      <c r="D258" s="98"/>
      <c r="F258" s="121"/>
    </row>
    <row r="259" ht="15.75" customHeight="1">
      <c r="D259" s="98"/>
      <c r="F259" s="121"/>
    </row>
    <row r="260" ht="15.75" customHeight="1">
      <c r="D260" s="98"/>
      <c r="F260" s="121"/>
    </row>
    <row r="261" ht="15.75" customHeight="1">
      <c r="D261" s="98"/>
      <c r="F261" s="121"/>
    </row>
    <row r="262" ht="15.75" customHeight="1">
      <c r="D262" s="98"/>
      <c r="F262" s="121"/>
    </row>
    <row r="263" ht="15.75" customHeight="1">
      <c r="D263" s="98"/>
      <c r="F263" s="121"/>
    </row>
    <row r="264" ht="15.75" customHeight="1">
      <c r="D264" s="98"/>
      <c r="F264" s="121"/>
    </row>
    <row r="265" ht="15.75" customHeight="1">
      <c r="D265" s="98"/>
      <c r="F265" s="121"/>
    </row>
    <row r="266" ht="15.75" customHeight="1">
      <c r="D266" s="98"/>
      <c r="F266" s="121"/>
    </row>
    <row r="267" ht="15.75" customHeight="1">
      <c r="D267" s="98"/>
      <c r="F267" s="121"/>
    </row>
    <row r="268" ht="15.75" customHeight="1">
      <c r="D268" s="98"/>
      <c r="F268" s="121"/>
    </row>
    <row r="269" ht="15.75" customHeight="1">
      <c r="D269" s="98"/>
      <c r="F269" s="121"/>
    </row>
    <row r="270" ht="15.75" customHeight="1">
      <c r="D270" s="98"/>
      <c r="F270" s="121"/>
    </row>
    <row r="271" ht="15.75" customHeight="1">
      <c r="D271" s="98"/>
      <c r="F271" s="121"/>
    </row>
    <row r="272" ht="15.75" customHeight="1">
      <c r="D272" s="98"/>
      <c r="F272" s="121"/>
    </row>
    <row r="273" ht="15.75" customHeight="1">
      <c r="D273" s="98"/>
      <c r="F273" s="121"/>
    </row>
    <row r="274" ht="15.75" customHeight="1">
      <c r="D274" s="98"/>
      <c r="F274" s="121"/>
    </row>
    <row r="275" ht="15.75" customHeight="1">
      <c r="D275" s="98"/>
      <c r="F275" s="121"/>
    </row>
    <row r="276" ht="15.75" customHeight="1">
      <c r="D276" s="98"/>
      <c r="F276" s="121"/>
    </row>
    <row r="277" ht="15.75" customHeight="1">
      <c r="D277" s="98"/>
      <c r="F277" s="121"/>
    </row>
    <row r="278" ht="15.75" customHeight="1">
      <c r="D278" s="98"/>
      <c r="F278" s="121"/>
    </row>
    <row r="279" ht="15.75" customHeight="1">
      <c r="D279" s="98"/>
      <c r="F279" s="121"/>
    </row>
    <row r="280" ht="15.75" customHeight="1">
      <c r="D280" s="98"/>
      <c r="F280" s="121"/>
    </row>
    <row r="281" ht="15.75" customHeight="1">
      <c r="D281" s="98"/>
      <c r="F281" s="121"/>
    </row>
    <row r="282" ht="15.75" customHeight="1">
      <c r="D282" s="98"/>
      <c r="F282" s="121"/>
    </row>
    <row r="283" ht="15.75" customHeight="1">
      <c r="D283" s="98"/>
      <c r="F283" s="121"/>
    </row>
    <row r="284" ht="15.75" customHeight="1">
      <c r="D284" s="98"/>
      <c r="F284" s="121"/>
    </row>
    <row r="285" ht="15.75" customHeight="1">
      <c r="D285" s="98"/>
      <c r="F285" s="121"/>
    </row>
    <row r="286" ht="15.75" customHeight="1">
      <c r="D286" s="98"/>
      <c r="F286" s="121"/>
    </row>
    <row r="287" ht="15.75" customHeight="1">
      <c r="D287" s="98"/>
      <c r="F287" s="121"/>
    </row>
    <row r="288" ht="15.75" customHeight="1">
      <c r="D288" s="98"/>
      <c r="F288" s="121"/>
    </row>
    <row r="289" ht="15.75" customHeight="1">
      <c r="D289" s="98"/>
      <c r="F289" s="121"/>
    </row>
    <row r="290" ht="15.75" customHeight="1">
      <c r="D290" s="98"/>
      <c r="F290" s="121"/>
    </row>
    <row r="291" ht="15.75" customHeight="1">
      <c r="D291" s="98"/>
      <c r="F291" s="121"/>
    </row>
    <row r="292" ht="15.75" customHeight="1">
      <c r="D292" s="98"/>
      <c r="F292" s="121"/>
    </row>
    <row r="293" ht="15.75" customHeight="1">
      <c r="D293" s="98"/>
      <c r="F293" s="121"/>
    </row>
    <row r="294" ht="15.75" customHeight="1">
      <c r="D294" s="98"/>
      <c r="F294" s="121"/>
    </row>
    <row r="295" ht="15.75" customHeight="1">
      <c r="D295" s="98"/>
      <c r="F295" s="121"/>
    </row>
    <row r="296" ht="15.75" customHeight="1">
      <c r="D296" s="98"/>
      <c r="F296" s="121"/>
    </row>
    <row r="297" ht="15.75" customHeight="1">
      <c r="D297" s="98"/>
      <c r="F297" s="121"/>
    </row>
    <row r="298" ht="15.75" customHeight="1">
      <c r="D298" s="98"/>
      <c r="F298" s="121"/>
    </row>
    <row r="299" ht="15.75" customHeight="1">
      <c r="D299" s="98"/>
      <c r="F299" s="121"/>
    </row>
    <row r="300" ht="15.75" customHeight="1">
      <c r="D300" s="98"/>
      <c r="F300" s="121"/>
    </row>
    <row r="301" ht="15.75" customHeight="1">
      <c r="D301" s="98"/>
      <c r="F301" s="121"/>
    </row>
    <row r="302" ht="15.75" customHeight="1">
      <c r="D302" s="98"/>
      <c r="F302" s="121"/>
    </row>
    <row r="303" ht="15.75" customHeight="1">
      <c r="D303" s="98"/>
      <c r="F303" s="121"/>
    </row>
    <row r="304" ht="15.75" customHeight="1">
      <c r="D304" s="98"/>
      <c r="F304" s="121"/>
    </row>
    <row r="305" ht="15.75" customHeight="1">
      <c r="D305" s="98"/>
      <c r="F305" s="121"/>
    </row>
    <row r="306" ht="15.75" customHeight="1">
      <c r="D306" s="98"/>
      <c r="F306" s="121"/>
    </row>
    <row r="307" ht="15.75" customHeight="1">
      <c r="D307" s="98"/>
      <c r="F307" s="121"/>
    </row>
    <row r="308" ht="15.75" customHeight="1">
      <c r="D308" s="98"/>
      <c r="F308" s="121"/>
    </row>
    <row r="309" ht="15.75" customHeight="1">
      <c r="D309" s="98"/>
      <c r="F309" s="121"/>
    </row>
    <row r="310" ht="15.75" customHeight="1">
      <c r="D310" s="98"/>
      <c r="F310" s="121"/>
    </row>
    <row r="311" ht="15.75" customHeight="1">
      <c r="D311" s="98"/>
      <c r="F311" s="121"/>
    </row>
    <row r="312" ht="15.75" customHeight="1">
      <c r="D312" s="98"/>
      <c r="F312" s="121"/>
    </row>
    <row r="313" ht="15.75" customHeight="1">
      <c r="D313" s="98"/>
      <c r="F313" s="121"/>
    </row>
    <row r="314" ht="15.75" customHeight="1">
      <c r="D314" s="98"/>
      <c r="F314" s="121"/>
    </row>
    <row r="315" ht="15.75" customHeight="1">
      <c r="D315" s="98"/>
      <c r="F315" s="121"/>
    </row>
    <row r="316" ht="15.75" customHeight="1">
      <c r="D316" s="98"/>
      <c r="F316" s="121"/>
    </row>
    <row r="317" ht="15.75" customHeight="1">
      <c r="D317" s="98"/>
      <c r="F317" s="121"/>
    </row>
    <row r="318" ht="15.75" customHeight="1">
      <c r="D318" s="98"/>
      <c r="F318" s="121"/>
    </row>
    <row r="319" ht="15.75" customHeight="1">
      <c r="D319" s="98"/>
      <c r="F319" s="121"/>
    </row>
    <row r="320" ht="15.75" customHeight="1">
      <c r="D320" s="98"/>
      <c r="F320" s="121"/>
    </row>
    <row r="321" ht="15.75" customHeight="1">
      <c r="D321" s="98"/>
      <c r="F321" s="121"/>
    </row>
    <row r="322" ht="15.75" customHeight="1">
      <c r="D322" s="98"/>
      <c r="F322" s="121"/>
    </row>
    <row r="323" ht="15.75" customHeight="1">
      <c r="D323" s="98"/>
      <c r="F323" s="121"/>
    </row>
    <row r="324" ht="15.75" customHeight="1">
      <c r="D324" s="98"/>
      <c r="F324" s="121"/>
    </row>
    <row r="325" ht="15.75" customHeight="1">
      <c r="D325" s="98"/>
      <c r="F325" s="121"/>
    </row>
    <row r="326" ht="15.75" customHeight="1">
      <c r="D326" s="98"/>
      <c r="F326" s="121"/>
    </row>
    <row r="327" ht="15.75" customHeight="1">
      <c r="D327" s="98"/>
      <c r="F327" s="121"/>
    </row>
    <row r="328" ht="15.75" customHeight="1">
      <c r="D328" s="98"/>
      <c r="F328" s="121"/>
    </row>
    <row r="329" ht="15.75" customHeight="1">
      <c r="D329" s="98"/>
      <c r="F329" s="121"/>
    </row>
    <row r="330" ht="15.75" customHeight="1">
      <c r="D330" s="98"/>
      <c r="F330" s="121"/>
    </row>
    <row r="331" ht="15.75" customHeight="1">
      <c r="D331" s="98"/>
      <c r="F331" s="121"/>
    </row>
    <row r="332" ht="15.75" customHeight="1">
      <c r="D332" s="98"/>
      <c r="F332" s="121"/>
    </row>
    <row r="333" ht="15.75" customHeight="1">
      <c r="D333" s="98"/>
      <c r="F333" s="121"/>
    </row>
    <row r="334" ht="15.75" customHeight="1">
      <c r="D334" s="98"/>
      <c r="F334" s="121"/>
    </row>
    <row r="335" ht="15.75" customHeight="1">
      <c r="D335" s="98"/>
      <c r="F335" s="121"/>
    </row>
    <row r="336" ht="15.75" customHeight="1">
      <c r="D336" s="98"/>
      <c r="F336" s="121"/>
    </row>
    <row r="337" ht="15.75" customHeight="1">
      <c r="D337" s="98"/>
      <c r="F337" s="121"/>
    </row>
    <row r="338" ht="15.75" customHeight="1">
      <c r="D338" s="98"/>
      <c r="F338" s="121"/>
    </row>
    <row r="339" ht="15.75" customHeight="1">
      <c r="D339" s="98"/>
      <c r="F339" s="121"/>
    </row>
    <row r="340" ht="15.75" customHeight="1">
      <c r="D340" s="98"/>
      <c r="F340" s="121"/>
    </row>
    <row r="341" ht="15.75" customHeight="1">
      <c r="D341" s="98"/>
      <c r="F341" s="121"/>
    </row>
    <row r="342" ht="15.75" customHeight="1">
      <c r="D342" s="98"/>
      <c r="F342" s="121"/>
    </row>
    <row r="343" ht="15.75" customHeight="1">
      <c r="D343" s="98"/>
      <c r="F343" s="121"/>
    </row>
    <row r="344" ht="15.75" customHeight="1">
      <c r="D344" s="98"/>
      <c r="F344" s="121"/>
    </row>
    <row r="345" ht="15.75" customHeight="1">
      <c r="D345" s="98"/>
      <c r="F345" s="121"/>
    </row>
    <row r="346" ht="15.75" customHeight="1">
      <c r="D346" s="98"/>
      <c r="F346" s="121"/>
    </row>
    <row r="347" ht="15.75" customHeight="1">
      <c r="D347" s="98"/>
      <c r="F347" s="121"/>
    </row>
    <row r="348" ht="15.75" customHeight="1">
      <c r="D348" s="98"/>
      <c r="F348" s="121"/>
    </row>
    <row r="349" ht="15.75" customHeight="1">
      <c r="D349" s="98"/>
      <c r="F349" s="121"/>
    </row>
    <row r="350" ht="15.75" customHeight="1">
      <c r="D350" s="98"/>
      <c r="F350" s="121"/>
    </row>
    <row r="351" ht="15.75" customHeight="1">
      <c r="D351" s="98"/>
      <c r="F351" s="121"/>
    </row>
    <row r="352" ht="15.75" customHeight="1">
      <c r="D352" s="98"/>
      <c r="F352" s="121"/>
    </row>
    <row r="353" ht="15.75" customHeight="1">
      <c r="D353" s="98"/>
      <c r="F353" s="121"/>
    </row>
    <row r="354" ht="15.75" customHeight="1">
      <c r="D354" s="98"/>
      <c r="F354" s="121"/>
    </row>
    <row r="355" ht="15.75" customHeight="1">
      <c r="D355" s="98"/>
      <c r="F355" s="121"/>
    </row>
    <row r="356" ht="15.75" customHeight="1">
      <c r="D356" s="98"/>
      <c r="F356" s="121"/>
    </row>
    <row r="357" ht="15.75" customHeight="1">
      <c r="D357" s="98"/>
      <c r="F357" s="121"/>
    </row>
    <row r="358" ht="15.75" customHeight="1">
      <c r="D358" s="98"/>
      <c r="F358" s="121"/>
    </row>
    <row r="359" ht="15.75" customHeight="1">
      <c r="D359" s="98"/>
      <c r="F359" s="121"/>
    </row>
    <row r="360" ht="15.75" customHeight="1">
      <c r="D360" s="98"/>
      <c r="F360" s="121"/>
    </row>
    <row r="361" ht="15.75" customHeight="1">
      <c r="D361" s="98"/>
      <c r="F361" s="121"/>
    </row>
    <row r="362" ht="15.75" customHeight="1">
      <c r="D362" s="98"/>
      <c r="F362" s="121"/>
    </row>
    <row r="363" ht="15.75" customHeight="1">
      <c r="D363" s="98"/>
      <c r="F363" s="121"/>
    </row>
    <row r="364" ht="15.75" customHeight="1">
      <c r="D364" s="98"/>
      <c r="F364" s="121"/>
    </row>
    <row r="365" ht="15.75" customHeight="1">
      <c r="D365" s="98"/>
      <c r="F365" s="121"/>
    </row>
    <row r="366" ht="15.75" customHeight="1">
      <c r="D366" s="98"/>
      <c r="F366" s="121"/>
    </row>
    <row r="367" ht="15.75" customHeight="1">
      <c r="D367" s="98"/>
      <c r="F367" s="121"/>
    </row>
    <row r="368" ht="15.75" customHeight="1">
      <c r="D368" s="98"/>
      <c r="F368" s="121"/>
    </row>
    <row r="369" ht="15.75" customHeight="1">
      <c r="D369" s="98"/>
      <c r="F369" s="121"/>
    </row>
    <row r="370" ht="15.75" customHeight="1">
      <c r="D370" s="98"/>
      <c r="F370" s="121"/>
    </row>
    <row r="371" ht="15.75" customHeight="1">
      <c r="D371" s="98"/>
      <c r="F371" s="121"/>
    </row>
    <row r="372" ht="15.75" customHeight="1">
      <c r="D372" s="98"/>
      <c r="F372" s="121"/>
    </row>
    <row r="373" ht="15.75" customHeight="1">
      <c r="D373" s="98"/>
      <c r="F373" s="121"/>
    </row>
    <row r="374" ht="15.75" customHeight="1">
      <c r="D374" s="98"/>
      <c r="F374" s="121"/>
    </row>
    <row r="375" ht="15.75" customHeight="1">
      <c r="D375" s="98"/>
      <c r="F375" s="121"/>
    </row>
    <row r="376" ht="15.75" customHeight="1">
      <c r="D376" s="98"/>
      <c r="F376" s="121"/>
    </row>
    <row r="377" ht="15.75" customHeight="1">
      <c r="D377" s="98"/>
      <c r="F377" s="121"/>
    </row>
    <row r="378" ht="15.75" customHeight="1">
      <c r="D378" s="98"/>
      <c r="F378" s="121"/>
    </row>
    <row r="379" ht="15.75" customHeight="1">
      <c r="D379" s="98"/>
      <c r="F379" s="121"/>
    </row>
    <row r="380" ht="15.75" customHeight="1">
      <c r="D380" s="98"/>
      <c r="F380" s="121"/>
    </row>
    <row r="381" ht="15.75" customHeight="1">
      <c r="D381" s="98"/>
      <c r="F381" s="121"/>
    </row>
    <row r="382" ht="15.75" customHeight="1">
      <c r="D382" s="98"/>
      <c r="F382" s="121"/>
    </row>
    <row r="383" ht="15.75" customHeight="1">
      <c r="D383" s="98"/>
      <c r="F383" s="121"/>
    </row>
    <row r="384" ht="15.75" customHeight="1">
      <c r="D384" s="98"/>
      <c r="F384" s="121"/>
    </row>
    <row r="385" ht="15.75" customHeight="1">
      <c r="D385" s="98"/>
      <c r="F385" s="121"/>
    </row>
    <row r="386" ht="15.75" customHeight="1">
      <c r="D386" s="98"/>
      <c r="F386" s="121"/>
    </row>
    <row r="387" ht="15.75" customHeight="1">
      <c r="D387" s="98"/>
      <c r="F387" s="121"/>
    </row>
    <row r="388" ht="15.75" customHeight="1">
      <c r="D388" s="98"/>
      <c r="F388" s="121"/>
    </row>
    <row r="389" ht="15.75" customHeight="1">
      <c r="D389" s="98"/>
      <c r="F389" s="121"/>
    </row>
    <row r="390" ht="15.75" customHeight="1">
      <c r="D390" s="98"/>
      <c r="F390" s="121"/>
    </row>
    <row r="391" ht="15.75" customHeight="1">
      <c r="D391" s="98"/>
      <c r="F391" s="121"/>
    </row>
    <row r="392" ht="15.75" customHeight="1">
      <c r="D392" s="98"/>
      <c r="F392" s="121"/>
    </row>
    <row r="393" ht="15.75" customHeight="1">
      <c r="D393" s="98"/>
      <c r="F393" s="121"/>
    </row>
    <row r="394" ht="15.75" customHeight="1">
      <c r="D394" s="98"/>
      <c r="F394" s="121"/>
    </row>
    <row r="395" ht="15.75" customHeight="1">
      <c r="D395" s="98"/>
      <c r="F395" s="121"/>
    </row>
    <row r="396" ht="15.75" customHeight="1">
      <c r="D396" s="98"/>
      <c r="F396" s="121"/>
    </row>
    <row r="397" ht="15.75" customHeight="1">
      <c r="D397" s="98"/>
      <c r="F397" s="121"/>
    </row>
    <row r="398" ht="15.75" customHeight="1">
      <c r="D398" s="98"/>
      <c r="F398" s="121"/>
    </row>
    <row r="399" ht="15.75" customHeight="1">
      <c r="D399" s="98"/>
      <c r="F399" s="121"/>
    </row>
    <row r="400" ht="15.75" customHeight="1">
      <c r="D400" s="98"/>
      <c r="F400" s="121"/>
    </row>
    <row r="401" ht="15.75" customHeight="1">
      <c r="D401" s="98"/>
      <c r="F401" s="121"/>
    </row>
    <row r="402" ht="15.75" customHeight="1">
      <c r="D402" s="98"/>
      <c r="F402" s="121"/>
    </row>
    <row r="403" ht="15.75" customHeight="1">
      <c r="D403" s="98"/>
      <c r="F403" s="121"/>
    </row>
    <row r="404" ht="15.75" customHeight="1">
      <c r="D404" s="98"/>
      <c r="F404" s="121"/>
    </row>
    <row r="405" ht="15.75" customHeight="1">
      <c r="D405" s="98"/>
      <c r="F405" s="121"/>
    </row>
    <row r="406" ht="15.75" customHeight="1">
      <c r="D406" s="98"/>
      <c r="F406" s="121"/>
    </row>
    <row r="407" ht="15.75" customHeight="1">
      <c r="D407" s="98"/>
      <c r="F407" s="121"/>
    </row>
    <row r="408" ht="15.75" customHeight="1">
      <c r="D408" s="98"/>
      <c r="F408" s="121"/>
    </row>
    <row r="409" ht="15.75" customHeight="1">
      <c r="D409" s="98"/>
      <c r="F409" s="121"/>
    </row>
    <row r="410" ht="15.75" customHeight="1">
      <c r="D410" s="98"/>
      <c r="F410" s="121"/>
    </row>
    <row r="411" ht="15.75" customHeight="1">
      <c r="D411" s="98"/>
      <c r="F411" s="121"/>
    </row>
    <row r="412" ht="15.75" customHeight="1">
      <c r="D412" s="98"/>
      <c r="F412" s="121"/>
    </row>
    <row r="413" ht="15.75" customHeight="1">
      <c r="D413" s="98"/>
      <c r="F413" s="121"/>
    </row>
    <row r="414" ht="15.75" customHeight="1">
      <c r="D414" s="98"/>
      <c r="F414" s="121"/>
    </row>
    <row r="415" ht="15.75" customHeight="1">
      <c r="D415" s="98"/>
      <c r="F415" s="121"/>
    </row>
    <row r="416" ht="15.75" customHeight="1">
      <c r="D416" s="98"/>
      <c r="F416" s="121"/>
    </row>
    <row r="417" ht="15.75" customHeight="1">
      <c r="D417" s="98"/>
      <c r="F417" s="121"/>
    </row>
    <row r="418" ht="15.75" customHeight="1">
      <c r="D418" s="98"/>
      <c r="F418" s="121"/>
    </row>
    <row r="419" ht="15.75" customHeight="1">
      <c r="D419" s="98"/>
      <c r="F419" s="121"/>
    </row>
    <row r="420" ht="15.75" customHeight="1">
      <c r="D420" s="98"/>
      <c r="F420" s="121"/>
    </row>
    <row r="421" ht="15.75" customHeight="1">
      <c r="D421" s="98"/>
      <c r="F421" s="121"/>
    </row>
    <row r="422" ht="15.75" customHeight="1">
      <c r="D422" s="98"/>
      <c r="F422" s="121"/>
    </row>
    <row r="423" ht="15.75" customHeight="1">
      <c r="D423" s="98"/>
      <c r="F423" s="121"/>
    </row>
    <row r="424" ht="15.75" customHeight="1">
      <c r="D424" s="98"/>
      <c r="F424" s="121"/>
    </row>
    <row r="425" ht="15.75" customHeight="1">
      <c r="D425" s="98"/>
      <c r="F425" s="121"/>
    </row>
    <row r="426" ht="15.75" customHeight="1">
      <c r="D426" s="98"/>
      <c r="F426" s="121"/>
    </row>
    <row r="427" ht="15.75" customHeight="1">
      <c r="D427" s="98"/>
      <c r="F427" s="121"/>
    </row>
    <row r="428" ht="15.75" customHeight="1">
      <c r="D428" s="98"/>
      <c r="F428" s="121"/>
    </row>
    <row r="429" ht="15.75" customHeight="1">
      <c r="D429" s="98"/>
      <c r="F429" s="121"/>
    </row>
    <row r="430" ht="15.75" customHeight="1">
      <c r="D430" s="98"/>
      <c r="F430" s="121"/>
    </row>
    <row r="431" ht="15.75" customHeight="1">
      <c r="D431" s="98"/>
      <c r="F431" s="121"/>
    </row>
    <row r="432" ht="15.75" customHeight="1">
      <c r="D432" s="98"/>
      <c r="F432" s="121"/>
    </row>
    <row r="433" ht="15.75" customHeight="1">
      <c r="D433" s="98"/>
      <c r="F433" s="121"/>
    </row>
    <row r="434" ht="15.75" customHeight="1">
      <c r="D434" s="98"/>
      <c r="F434" s="121"/>
    </row>
    <row r="435" ht="15.75" customHeight="1">
      <c r="D435" s="98"/>
      <c r="F435" s="121"/>
    </row>
    <row r="436" ht="15.75" customHeight="1">
      <c r="D436" s="98"/>
      <c r="F436" s="121"/>
    </row>
    <row r="437" ht="15.75" customHeight="1">
      <c r="D437" s="98"/>
      <c r="F437" s="121"/>
    </row>
    <row r="438" ht="15.75" customHeight="1">
      <c r="D438" s="98"/>
      <c r="F438" s="121"/>
    </row>
    <row r="439" ht="15.75" customHeight="1">
      <c r="D439" s="98"/>
      <c r="F439" s="121"/>
    </row>
    <row r="440" ht="15.75" customHeight="1">
      <c r="D440" s="98"/>
      <c r="F440" s="121"/>
    </row>
    <row r="441" ht="15.75" customHeight="1">
      <c r="D441" s="98"/>
      <c r="F441" s="121"/>
    </row>
    <row r="442" ht="15.75" customHeight="1">
      <c r="D442" s="98"/>
      <c r="F442" s="121"/>
    </row>
    <row r="443" ht="15.75" customHeight="1">
      <c r="D443" s="98"/>
      <c r="F443" s="121"/>
    </row>
    <row r="444" ht="15.75" customHeight="1">
      <c r="D444" s="98"/>
      <c r="F444" s="121"/>
    </row>
    <row r="445" ht="15.75" customHeight="1">
      <c r="D445" s="98"/>
      <c r="F445" s="121"/>
    </row>
    <row r="446" ht="15.75" customHeight="1">
      <c r="D446" s="98"/>
      <c r="F446" s="121"/>
    </row>
    <row r="447" ht="15.75" customHeight="1">
      <c r="D447" s="98"/>
      <c r="F447" s="121"/>
    </row>
    <row r="448" ht="15.75" customHeight="1">
      <c r="D448" s="98"/>
      <c r="F448" s="121"/>
    </row>
    <row r="449" ht="15.75" customHeight="1">
      <c r="D449" s="98"/>
      <c r="F449" s="121"/>
    </row>
    <row r="450" ht="15.75" customHeight="1">
      <c r="D450" s="98"/>
      <c r="F450" s="121"/>
    </row>
    <row r="451" ht="15.75" customHeight="1">
      <c r="D451" s="98"/>
      <c r="F451" s="121"/>
    </row>
    <row r="452" ht="15.75" customHeight="1">
      <c r="D452" s="98"/>
      <c r="F452" s="121"/>
    </row>
    <row r="453" ht="15.75" customHeight="1">
      <c r="D453" s="98"/>
      <c r="F453" s="121"/>
    </row>
    <row r="454" ht="15.75" customHeight="1">
      <c r="D454" s="98"/>
      <c r="F454" s="121"/>
    </row>
    <row r="455" ht="15.75" customHeight="1">
      <c r="D455" s="98"/>
      <c r="F455" s="121"/>
    </row>
    <row r="456" ht="15.75" customHeight="1">
      <c r="D456" s="98"/>
      <c r="F456" s="121"/>
    </row>
    <row r="457" ht="15.75" customHeight="1">
      <c r="D457" s="98"/>
      <c r="F457" s="121"/>
    </row>
    <row r="458" ht="15.75" customHeight="1">
      <c r="D458" s="98"/>
      <c r="F458" s="121"/>
    </row>
    <row r="459" ht="15.75" customHeight="1">
      <c r="D459" s="98"/>
      <c r="F459" s="121"/>
    </row>
    <row r="460" ht="15.75" customHeight="1">
      <c r="D460" s="98"/>
      <c r="F460" s="121"/>
    </row>
    <row r="461" ht="15.75" customHeight="1">
      <c r="D461" s="98"/>
      <c r="F461" s="121"/>
    </row>
    <row r="462" ht="15.75" customHeight="1">
      <c r="D462" s="98"/>
      <c r="F462" s="121"/>
    </row>
    <row r="463" ht="15.75" customHeight="1">
      <c r="D463" s="98"/>
      <c r="F463" s="121"/>
    </row>
    <row r="464" ht="15.75" customHeight="1">
      <c r="D464" s="98"/>
      <c r="F464" s="121"/>
    </row>
    <row r="465" ht="15.75" customHeight="1">
      <c r="D465" s="98"/>
      <c r="F465" s="121"/>
    </row>
    <row r="466" ht="15.75" customHeight="1">
      <c r="D466" s="98"/>
      <c r="F466" s="121"/>
    </row>
    <row r="467" ht="15.75" customHeight="1">
      <c r="D467" s="98"/>
      <c r="F467" s="121"/>
    </row>
    <row r="468" ht="15.75" customHeight="1">
      <c r="D468" s="98"/>
      <c r="F468" s="121"/>
    </row>
    <row r="469" ht="15.75" customHeight="1">
      <c r="D469" s="98"/>
      <c r="F469" s="121"/>
    </row>
    <row r="470" ht="15.75" customHeight="1">
      <c r="D470" s="98"/>
      <c r="F470" s="121"/>
    </row>
    <row r="471" ht="15.75" customHeight="1">
      <c r="D471" s="98"/>
      <c r="F471" s="121"/>
    </row>
    <row r="472" ht="15.75" customHeight="1">
      <c r="D472" s="98"/>
      <c r="F472" s="121"/>
    </row>
    <row r="473" ht="15.75" customHeight="1">
      <c r="D473" s="98"/>
      <c r="F473" s="121"/>
    </row>
    <row r="474" ht="15.75" customHeight="1">
      <c r="D474" s="98"/>
      <c r="F474" s="121"/>
    </row>
    <row r="475" ht="15.75" customHeight="1">
      <c r="D475" s="98"/>
      <c r="F475" s="121"/>
    </row>
    <row r="476" ht="15.75" customHeight="1">
      <c r="D476" s="98"/>
      <c r="F476" s="121"/>
    </row>
    <row r="477" ht="15.75" customHeight="1">
      <c r="D477" s="98"/>
      <c r="F477" s="121"/>
    </row>
    <row r="478" ht="15.75" customHeight="1">
      <c r="D478" s="98"/>
      <c r="F478" s="121"/>
    </row>
    <row r="479" ht="15.75" customHeight="1">
      <c r="D479" s="98"/>
      <c r="F479" s="121"/>
    </row>
    <row r="480" ht="15.75" customHeight="1">
      <c r="D480" s="98"/>
      <c r="F480" s="121"/>
    </row>
    <row r="481" ht="15.75" customHeight="1">
      <c r="D481" s="98"/>
      <c r="F481" s="121"/>
    </row>
    <row r="482" ht="15.75" customHeight="1">
      <c r="D482" s="98"/>
      <c r="F482" s="121"/>
    </row>
    <row r="483" ht="15.75" customHeight="1">
      <c r="D483" s="98"/>
      <c r="F483" s="121"/>
    </row>
    <row r="484" ht="15.75" customHeight="1">
      <c r="D484" s="98"/>
      <c r="F484" s="121"/>
    </row>
    <row r="485" ht="15.75" customHeight="1">
      <c r="D485" s="98"/>
      <c r="F485" s="121"/>
    </row>
    <row r="486" ht="15.75" customHeight="1">
      <c r="D486" s="98"/>
      <c r="F486" s="121"/>
    </row>
    <row r="487" ht="15.75" customHeight="1">
      <c r="D487" s="98"/>
      <c r="F487" s="121"/>
    </row>
    <row r="488" ht="15.75" customHeight="1">
      <c r="D488" s="98"/>
      <c r="F488" s="121"/>
    </row>
    <row r="489" ht="15.75" customHeight="1">
      <c r="D489" s="98"/>
      <c r="F489" s="121"/>
    </row>
    <row r="490" ht="15.75" customHeight="1">
      <c r="D490" s="98"/>
      <c r="F490" s="121"/>
    </row>
    <row r="491" ht="15.75" customHeight="1">
      <c r="D491" s="98"/>
      <c r="F491" s="121"/>
    </row>
    <row r="492" ht="15.75" customHeight="1">
      <c r="D492" s="98"/>
      <c r="F492" s="121"/>
    </row>
    <row r="493" ht="15.75" customHeight="1">
      <c r="D493" s="98"/>
      <c r="F493" s="121"/>
    </row>
    <row r="494" ht="15.75" customHeight="1">
      <c r="D494" s="98"/>
      <c r="F494" s="121"/>
    </row>
    <row r="495" ht="15.75" customHeight="1">
      <c r="D495" s="98"/>
      <c r="F495" s="121"/>
    </row>
    <row r="496" ht="15.75" customHeight="1">
      <c r="D496" s="98"/>
      <c r="F496" s="121"/>
    </row>
    <row r="497" ht="15.75" customHeight="1">
      <c r="D497" s="98"/>
      <c r="F497" s="121"/>
    </row>
    <row r="498" ht="15.75" customHeight="1">
      <c r="D498" s="98"/>
      <c r="F498" s="121"/>
    </row>
    <row r="499" ht="15.75" customHeight="1">
      <c r="D499" s="98"/>
      <c r="F499" s="121"/>
    </row>
    <row r="500" ht="15.75" customHeight="1">
      <c r="D500" s="98"/>
      <c r="F500" s="121"/>
    </row>
    <row r="501" ht="15.75" customHeight="1">
      <c r="D501" s="98"/>
      <c r="F501" s="121"/>
    </row>
    <row r="502" ht="15.75" customHeight="1">
      <c r="D502" s="98"/>
      <c r="F502" s="121"/>
    </row>
    <row r="503" ht="15.75" customHeight="1">
      <c r="D503" s="98"/>
      <c r="F503" s="121"/>
    </row>
    <row r="504" ht="15.75" customHeight="1">
      <c r="D504" s="98"/>
      <c r="F504" s="121"/>
    </row>
    <row r="505" ht="15.75" customHeight="1">
      <c r="D505" s="98"/>
      <c r="F505" s="121"/>
    </row>
    <row r="506" ht="15.75" customHeight="1">
      <c r="D506" s="98"/>
      <c r="F506" s="121"/>
    </row>
    <row r="507" ht="15.75" customHeight="1">
      <c r="D507" s="98"/>
      <c r="F507" s="121"/>
    </row>
    <row r="508" ht="15.75" customHeight="1">
      <c r="D508" s="98"/>
      <c r="F508" s="121"/>
    </row>
    <row r="509" ht="15.75" customHeight="1">
      <c r="D509" s="98"/>
      <c r="F509" s="121"/>
    </row>
    <row r="510" ht="15.75" customHeight="1">
      <c r="D510" s="98"/>
      <c r="F510" s="121"/>
    </row>
    <row r="511" ht="15.75" customHeight="1">
      <c r="D511" s="98"/>
      <c r="F511" s="121"/>
    </row>
    <row r="512" ht="15.75" customHeight="1">
      <c r="D512" s="98"/>
      <c r="F512" s="121"/>
    </row>
    <row r="513" ht="15.75" customHeight="1">
      <c r="D513" s="98"/>
      <c r="F513" s="121"/>
    </row>
    <row r="514" ht="15.75" customHeight="1">
      <c r="D514" s="98"/>
      <c r="F514" s="121"/>
    </row>
    <row r="515" ht="15.75" customHeight="1">
      <c r="D515" s="98"/>
      <c r="F515" s="121"/>
    </row>
    <row r="516" ht="15.75" customHeight="1">
      <c r="D516" s="98"/>
      <c r="F516" s="121"/>
    </row>
    <row r="517" ht="15.75" customHeight="1">
      <c r="D517" s="98"/>
      <c r="F517" s="121"/>
    </row>
    <row r="518" ht="15.75" customHeight="1">
      <c r="D518" s="98"/>
      <c r="F518" s="121"/>
    </row>
    <row r="519" ht="15.75" customHeight="1">
      <c r="D519" s="98"/>
      <c r="F519" s="121"/>
    </row>
    <row r="520" ht="15.75" customHeight="1">
      <c r="D520" s="98"/>
      <c r="F520" s="121"/>
    </row>
    <row r="521" ht="15.75" customHeight="1">
      <c r="D521" s="98"/>
      <c r="F521" s="121"/>
    </row>
    <row r="522" ht="15.75" customHeight="1">
      <c r="D522" s="98"/>
      <c r="F522" s="121"/>
    </row>
    <row r="523" ht="15.75" customHeight="1">
      <c r="D523" s="98"/>
      <c r="F523" s="121"/>
    </row>
    <row r="524" ht="15.75" customHeight="1">
      <c r="D524" s="98"/>
      <c r="F524" s="121"/>
    </row>
    <row r="525" ht="15.75" customHeight="1">
      <c r="D525" s="98"/>
      <c r="F525" s="121"/>
    </row>
    <row r="526" ht="15.75" customHeight="1">
      <c r="D526" s="98"/>
      <c r="F526" s="121"/>
    </row>
    <row r="527" ht="15.75" customHeight="1">
      <c r="D527" s="98"/>
      <c r="F527" s="121"/>
    </row>
    <row r="528" ht="15.75" customHeight="1">
      <c r="D528" s="98"/>
      <c r="F528" s="121"/>
    </row>
    <row r="529" ht="15.75" customHeight="1">
      <c r="D529" s="98"/>
      <c r="F529" s="121"/>
    </row>
    <row r="530" ht="15.75" customHeight="1">
      <c r="D530" s="98"/>
      <c r="F530" s="121"/>
    </row>
    <row r="531" ht="15.75" customHeight="1">
      <c r="D531" s="98"/>
      <c r="F531" s="121"/>
    </row>
    <row r="532" ht="15.75" customHeight="1">
      <c r="D532" s="98"/>
      <c r="F532" s="121"/>
    </row>
    <row r="533" ht="15.75" customHeight="1">
      <c r="D533" s="98"/>
      <c r="F533" s="121"/>
    </row>
    <row r="534" ht="15.75" customHeight="1">
      <c r="D534" s="98"/>
      <c r="F534" s="121"/>
    </row>
    <row r="535" ht="15.75" customHeight="1">
      <c r="D535" s="98"/>
      <c r="F535" s="121"/>
    </row>
    <row r="536" ht="15.75" customHeight="1">
      <c r="D536" s="98"/>
      <c r="F536" s="121"/>
    </row>
    <row r="537" ht="15.75" customHeight="1">
      <c r="D537" s="98"/>
      <c r="F537" s="121"/>
    </row>
    <row r="538" ht="15.75" customHeight="1">
      <c r="D538" s="98"/>
      <c r="F538" s="121"/>
    </row>
    <row r="539" ht="15.75" customHeight="1">
      <c r="D539" s="98"/>
      <c r="F539" s="121"/>
    </row>
    <row r="540" ht="15.75" customHeight="1">
      <c r="D540" s="98"/>
      <c r="F540" s="121"/>
    </row>
    <row r="541" ht="15.75" customHeight="1">
      <c r="D541" s="98"/>
      <c r="F541" s="121"/>
    </row>
    <row r="542" ht="15.75" customHeight="1">
      <c r="D542" s="98"/>
      <c r="F542" s="121"/>
    </row>
    <row r="543" ht="15.75" customHeight="1">
      <c r="D543" s="98"/>
      <c r="F543" s="121"/>
    </row>
    <row r="544" ht="15.75" customHeight="1">
      <c r="D544" s="98"/>
      <c r="F544" s="121"/>
    </row>
    <row r="545" ht="15.75" customHeight="1">
      <c r="D545" s="98"/>
      <c r="F545" s="121"/>
    </row>
    <row r="546" ht="15.75" customHeight="1">
      <c r="D546" s="98"/>
      <c r="F546" s="121"/>
    </row>
    <row r="547" ht="15.75" customHeight="1">
      <c r="D547" s="98"/>
      <c r="F547" s="121"/>
    </row>
    <row r="548" ht="15.75" customHeight="1">
      <c r="D548" s="98"/>
      <c r="F548" s="121"/>
    </row>
    <row r="549" ht="15.75" customHeight="1">
      <c r="D549" s="98"/>
      <c r="F549" s="121"/>
    </row>
    <row r="550" ht="15.75" customHeight="1">
      <c r="D550" s="98"/>
      <c r="F550" s="121"/>
    </row>
    <row r="551" ht="15.75" customHeight="1">
      <c r="D551" s="98"/>
      <c r="F551" s="121"/>
    </row>
    <row r="552" ht="15.75" customHeight="1">
      <c r="D552" s="98"/>
      <c r="F552" s="121"/>
    </row>
    <row r="553" ht="15.75" customHeight="1">
      <c r="D553" s="98"/>
      <c r="F553" s="121"/>
    </row>
    <row r="554" ht="15.75" customHeight="1">
      <c r="D554" s="98"/>
      <c r="F554" s="121"/>
    </row>
    <row r="555" ht="15.75" customHeight="1">
      <c r="D555" s="98"/>
      <c r="F555" s="121"/>
    </row>
    <row r="556" ht="15.75" customHeight="1">
      <c r="D556" s="98"/>
      <c r="F556" s="121"/>
    </row>
    <row r="557" ht="15.75" customHeight="1">
      <c r="D557" s="98"/>
      <c r="F557" s="121"/>
    </row>
    <row r="558" ht="15.75" customHeight="1">
      <c r="D558" s="98"/>
      <c r="F558" s="121"/>
    </row>
    <row r="559" ht="15.75" customHeight="1">
      <c r="D559" s="98"/>
      <c r="F559" s="121"/>
    </row>
    <row r="560" ht="15.75" customHeight="1">
      <c r="D560" s="98"/>
      <c r="F560" s="121"/>
    </row>
    <row r="561" ht="15.75" customHeight="1">
      <c r="D561" s="98"/>
      <c r="F561" s="121"/>
    </row>
    <row r="562" ht="15.75" customHeight="1">
      <c r="D562" s="98"/>
      <c r="F562" s="121"/>
    </row>
    <row r="563" ht="15.75" customHeight="1">
      <c r="D563" s="98"/>
      <c r="F563" s="121"/>
    </row>
    <row r="564" ht="15.75" customHeight="1">
      <c r="D564" s="98"/>
      <c r="F564" s="121"/>
    </row>
    <row r="565" ht="15.75" customHeight="1">
      <c r="D565" s="98"/>
      <c r="F565" s="121"/>
    </row>
    <row r="566" ht="15.75" customHeight="1">
      <c r="D566" s="98"/>
      <c r="F566" s="121"/>
    </row>
    <row r="567" ht="15.75" customHeight="1">
      <c r="D567" s="98"/>
      <c r="F567" s="121"/>
    </row>
    <row r="568" ht="15.75" customHeight="1">
      <c r="D568" s="98"/>
      <c r="F568" s="121"/>
    </row>
    <row r="569" ht="15.75" customHeight="1">
      <c r="D569" s="98"/>
      <c r="F569" s="121"/>
    </row>
    <row r="570" ht="15.75" customHeight="1">
      <c r="D570" s="98"/>
      <c r="F570" s="121"/>
    </row>
    <row r="571" ht="15.75" customHeight="1">
      <c r="D571" s="98"/>
      <c r="F571" s="121"/>
    </row>
    <row r="572" ht="15.75" customHeight="1">
      <c r="D572" s="98"/>
      <c r="F572" s="121"/>
    </row>
    <row r="573" ht="15.75" customHeight="1">
      <c r="D573" s="98"/>
      <c r="F573" s="121"/>
    </row>
    <row r="574" ht="15.75" customHeight="1">
      <c r="D574" s="98"/>
      <c r="F574" s="121"/>
    </row>
    <row r="575" ht="15.75" customHeight="1">
      <c r="D575" s="98"/>
      <c r="F575" s="121"/>
    </row>
    <row r="576" ht="15.75" customHeight="1">
      <c r="D576" s="98"/>
      <c r="F576" s="121"/>
    </row>
    <row r="577" ht="15.75" customHeight="1">
      <c r="D577" s="98"/>
      <c r="F577" s="121"/>
    </row>
    <row r="578" ht="15.75" customHeight="1">
      <c r="D578" s="98"/>
      <c r="F578" s="121"/>
    </row>
    <row r="579" ht="15.75" customHeight="1">
      <c r="D579" s="98"/>
      <c r="F579" s="121"/>
    </row>
    <row r="580" ht="15.75" customHeight="1">
      <c r="D580" s="98"/>
      <c r="F580" s="121"/>
    </row>
    <row r="581" ht="15.75" customHeight="1">
      <c r="D581" s="98"/>
      <c r="F581" s="121"/>
    </row>
    <row r="582" ht="15.75" customHeight="1">
      <c r="D582" s="98"/>
      <c r="F582" s="121"/>
    </row>
    <row r="583" ht="15.75" customHeight="1">
      <c r="D583" s="98"/>
      <c r="F583" s="121"/>
    </row>
    <row r="584" ht="15.75" customHeight="1">
      <c r="D584" s="98"/>
      <c r="F584" s="121"/>
    </row>
    <row r="585" ht="15.75" customHeight="1">
      <c r="D585" s="98"/>
      <c r="F585" s="121"/>
    </row>
    <row r="586" ht="15.75" customHeight="1">
      <c r="D586" s="98"/>
      <c r="F586" s="121"/>
    </row>
    <row r="587" ht="15.75" customHeight="1">
      <c r="D587" s="98"/>
      <c r="F587" s="121"/>
    </row>
    <row r="588" ht="15.75" customHeight="1">
      <c r="D588" s="98"/>
      <c r="F588" s="121"/>
    </row>
    <row r="589" ht="15.75" customHeight="1">
      <c r="D589" s="98"/>
      <c r="F589" s="121"/>
    </row>
    <row r="590" ht="15.75" customHeight="1">
      <c r="D590" s="98"/>
      <c r="F590" s="121"/>
    </row>
    <row r="591" ht="15.75" customHeight="1">
      <c r="D591" s="98"/>
      <c r="F591" s="121"/>
    </row>
    <row r="592" ht="15.75" customHeight="1">
      <c r="D592" s="98"/>
      <c r="F592" s="121"/>
    </row>
    <row r="593" ht="15.75" customHeight="1">
      <c r="D593" s="98"/>
      <c r="F593" s="121"/>
    </row>
    <row r="594" ht="15.75" customHeight="1">
      <c r="D594" s="98"/>
      <c r="F594" s="121"/>
    </row>
    <row r="595" ht="15.75" customHeight="1">
      <c r="D595" s="98"/>
      <c r="F595" s="121"/>
    </row>
    <row r="596" ht="15.75" customHeight="1">
      <c r="D596" s="98"/>
      <c r="F596" s="121"/>
    </row>
    <row r="597" ht="15.75" customHeight="1">
      <c r="D597" s="98"/>
      <c r="F597" s="121"/>
    </row>
    <row r="598" ht="15.75" customHeight="1">
      <c r="D598" s="98"/>
      <c r="F598" s="121"/>
    </row>
    <row r="599" ht="15.75" customHeight="1">
      <c r="D599" s="98"/>
      <c r="F599" s="121"/>
    </row>
    <row r="600" ht="15.75" customHeight="1">
      <c r="D600" s="98"/>
      <c r="F600" s="121"/>
    </row>
    <row r="601" ht="15.75" customHeight="1">
      <c r="D601" s="98"/>
      <c r="F601" s="121"/>
    </row>
    <row r="602" ht="15.75" customHeight="1">
      <c r="D602" s="98"/>
      <c r="F602" s="121"/>
    </row>
    <row r="603" ht="15.75" customHeight="1">
      <c r="D603" s="98"/>
      <c r="F603" s="121"/>
    </row>
    <row r="604" ht="15.75" customHeight="1">
      <c r="D604" s="98"/>
      <c r="F604" s="121"/>
    </row>
    <row r="605" ht="15.75" customHeight="1">
      <c r="D605" s="98"/>
      <c r="F605" s="121"/>
    </row>
    <row r="606" ht="15.75" customHeight="1">
      <c r="D606" s="98"/>
      <c r="F606" s="121"/>
    </row>
    <row r="607" ht="15.75" customHeight="1">
      <c r="D607" s="98"/>
      <c r="F607" s="121"/>
    </row>
    <row r="608" ht="15.75" customHeight="1">
      <c r="D608" s="98"/>
      <c r="F608" s="121"/>
    </row>
    <row r="609" ht="15.75" customHeight="1">
      <c r="D609" s="98"/>
      <c r="F609" s="121"/>
    </row>
    <row r="610" ht="15.75" customHeight="1">
      <c r="D610" s="98"/>
      <c r="F610" s="121"/>
    </row>
    <row r="611" ht="15.75" customHeight="1">
      <c r="D611" s="98"/>
      <c r="F611" s="121"/>
    </row>
    <row r="612" ht="15.75" customHeight="1">
      <c r="D612" s="98"/>
      <c r="F612" s="121"/>
    </row>
    <row r="613" ht="15.75" customHeight="1">
      <c r="D613" s="98"/>
      <c r="F613" s="121"/>
    </row>
    <row r="614" ht="15.75" customHeight="1">
      <c r="D614" s="98"/>
      <c r="F614" s="121"/>
    </row>
    <row r="615" ht="15.75" customHeight="1">
      <c r="D615" s="98"/>
      <c r="F615" s="121"/>
    </row>
    <row r="616" ht="15.75" customHeight="1">
      <c r="D616" s="98"/>
      <c r="F616" s="121"/>
    </row>
    <row r="617" ht="15.75" customHeight="1">
      <c r="D617" s="98"/>
      <c r="F617" s="121"/>
    </row>
    <row r="618" ht="15.75" customHeight="1">
      <c r="D618" s="98"/>
      <c r="F618" s="121"/>
    </row>
    <row r="619" ht="15.75" customHeight="1">
      <c r="D619" s="98"/>
      <c r="F619" s="121"/>
    </row>
    <row r="620" ht="15.75" customHeight="1">
      <c r="D620" s="98"/>
      <c r="F620" s="121"/>
    </row>
    <row r="621" ht="15.75" customHeight="1">
      <c r="D621" s="98"/>
      <c r="F621" s="121"/>
    </row>
    <row r="622" ht="15.75" customHeight="1">
      <c r="D622" s="98"/>
      <c r="F622" s="121"/>
    </row>
    <row r="623" ht="15.75" customHeight="1">
      <c r="D623" s="98"/>
      <c r="F623" s="121"/>
    </row>
    <row r="624" ht="15.75" customHeight="1">
      <c r="D624" s="98"/>
      <c r="F624" s="121"/>
    </row>
    <row r="625" ht="15.75" customHeight="1">
      <c r="D625" s="98"/>
      <c r="F625" s="121"/>
    </row>
    <row r="626" ht="15.75" customHeight="1">
      <c r="D626" s="98"/>
      <c r="F626" s="121"/>
    </row>
    <row r="627" ht="15.75" customHeight="1">
      <c r="D627" s="98"/>
      <c r="F627" s="121"/>
    </row>
    <row r="628" ht="15.75" customHeight="1">
      <c r="D628" s="98"/>
      <c r="F628" s="121"/>
    </row>
    <row r="629" ht="15.75" customHeight="1">
      <c r="D629" s="98"/>
      <c r="F629" s="121"/>
    </row>
    <row r="630" ht="15.75" customHeight="1">
      <c r="D630" s="98"/>
      <c r="F630" s="121"/>
    </row>
    <row r="631" ht="15.75" customHeight="1">
      <c r="D631" s="98"/>
      <c r="F631" s="121"/>
    </row>
    <row r="632" ht="15.75" customHeight="1">
      <c r="D632" s="98"/>
      <c r="F632" s="121"/>
    </row>
    <row r="633" ht="15.75" customHeight="1">
      <c r="D633" s="98"/>
      <c r="F633" s="121"/>
    </row>
    <row r="634" ht="15.75" customHeight="1">
      <c r="D634" s="98"/>
      <c r="F634" s="121"/>
    </row>
    <row r="635" ht="15.75" customHeight="1">
      <c r="D635" s="98"/>
      <c r="F635" s="121"/>
    </row>
    <row r="636" ht="15.75" customHeight="1">
      <c r="D636" s="98"/>
      <c r="F636" s="121"/>
    </row>
    <row r="637" ht="15.75" customHeight="1">
      <c r="D637" s="98"/>
      <c r="F637" s="121"/>
    </row>
    <row r="638" ht="15.75" customHeight="1">
      <c r="D638" s="98"/>
      <c r="F638" s="121"/>
    </row>
    <row r="639" ht="15.75" customHeight="1">
      <c r="D639" s="98"/>
      <c r="F639" s="121"/>
    </row>
    <row r="640" ht="15.75" customHeight="1">
      <c r="D640" s="98"/>
      <c r="F640" s="121"/>
    </row>
    <row r="641" ht="15.75" customHeight="1">
      <c r="D641" s="98"/>
      <c r="F641" s="121"/>
    </row>
    <row r="642" ht="15.75" customHeight="1">
      <c r="D642" s="98"/>
      <c r="F642" s="121"/>
    </row>
    <row r="643" ht="15.75" customHeight="1">
      <c r="D643" s="98"/>
      <c r="F643" s="121"/>
    </row>
    <row r="644" ht="15.75" customHeight="1">
      <c r="D644" s="98"/>
      <c r="F644" s="121"/>
    </row>
    <row r="645" ht="15.75" customHeight="1">
      <c r="D645" s="98"/>
      <c r="F645" s="121"/>
    </row>
    <row r="646" ht="15.75" customHeight="1">
      <c r="D646" s="98"/>
      <c r="F646" s="121"/>
    </row>
    <row r="647" ht="15.75" customHeight="1">
      <c r="D647" s="98"/>
      <c r="F647" s="121"/>
    </row>
    <row r="648" ht="15.75" customHeight="1">
      <c r="D648" s="98"/>
      <c r="F648" s="121"/>
    </row>
    <row r="649" ht="15.75" customHeight="1">
      <c r="D649" s="98"/>
      <c r="F649" s="121"/>
    </row>
    <row r="650" ht="15.75" customHeight="1">
      <c r="D650" s="98"/>
      <c r="F650" s="121"/>
    </row>
    <row r="651" ht="15.75" customHeight="1">
      <c r="D651" s="98"/>
      <c r="F651" s="121"/>
    </row>
    <row r="652" ht="15.75" customHeight="1">
      <c r="D652" s="98"/>
      <c r="F652" s="121"/>
    </row>
    <row r="653" ht="15.75" customHeight="1">
      <c r="D653" s="98"/>
      <c r="F653" s="121"/>
    </row>
    <row r="654" ht="15.75" customHeight="1">
      <c r="D654" s="98"/>
      <c r="F654" s="121"/>
    </row>
    <row r="655" ht="15.75" customHeight="1">
      <c r="D655" s="98"/>
      <c r="F655" s="121"/>
    </row>
    <row r="656" ht="15.75" customHeight="1">
      <c r="D656" s="98"/>
      <c r="F656" s="121"/>
    </row>
    <row r="657" ht="15.75" customHeight="1">
      <c r="D657" s="98"/>
      <c r="F657" s="121"/>
    </row>
    <row r="658" ht="15.75" customHeight="1">
      <c r="D658" s="98"/>
      <c r="F658" s="121"/>
    </row>
    <row r="659" ht="15.75" customHeight="1">
      <c r="D659" s="98"/>
      <c r="F659" s="121"/>
    </row>
    <row r="660" ht="15.75" customHeight="1">
      <c r="D660" s="98"/>
      <c r="F660" s="121"/>
    </row>
    <row r="661" ht="15.75" customHeight="1">
      <c r="D661" s="98"/>
      <c r="F661" s="121"/>
    </row>
    <row r="662" ht="15.75" customHeight="1">
      <c r="D662" s="98"/>
      <c r="F662" s="121"/>
    </row>
    <row r="663" ht="15.75" customHeight="1">
      <c r="D663" s="98"/>
      <c r="F663" s="121"/>
    </row>
    <row r="664" ht="15.75" customHeight="1">
      <c r="D664" s="98"/>
      <c r="F664" s="121"/>
    </row>
    <row r="665" ht="15.75" customHeight="1">
      <c r="D665" s="98"/>
      <c r="F665" s="121"/>
    </row>
    <row r="666" ht="15.75" customHeight="1">
      <c r="D666" s="98"/>
      <c r="F666" s="121"/>
    </row>
    <row r="667" ht="15.75" customHeight="1">
      <c r="D667" s="98"/>
      <c r="F667" s="121"/>
    </row>
    <row r="668" ht="15.75" customHeight="1">
      <c r="D668" s="98"/>
      <c r="F668" s="121"/>
    </row>
    <row r="669" ht="15.75" customHeight="1">
      <c r="D669" s="98"/>
      <c r="F669" s="121"/>
    </row>
    <row r="670" ht="15.75" customHeight="1">
      <c r="D670" s="98"/>
      <c r="F670" s="121"/>
    </row>
    <row r="671" ht="15.75" customHeight="1">
      <c r="D671" s="98"/>
      <c r="F671" s="121"/>
    </row>
    <row r="672" ht="15.75" customHeight="1">
      <c r="D672" s="98"/>
      <c r="F672" s="121"/>
    </row>
    <row r="673" ht="15.75" customHeight="1">
      <c r="D673" s="98"/>
      <c r="F673" s="121"/>
    </row>
    <row r="674" ht="15.75" customHeight="1">
      <c r="D674" s="98"/>
      <c r="F674" s="121"/>
    </row>
    <row r="675" ht="15.75" customHeight="1">
      <c r="D675" s="98"/>
      <c r="F675" s="121"/>
    </row>
    <row r="676" ht="15.75" customHeight="1">
      <c r="D676" s="98"/>
      <c r="F676" s="121"/>
    </row>
    <row r="677" ht="15.75" customHeight="1">
      <c r="D677" s="98"/>
      <c r="F677" s="121"/>
    </row>
    <row r="678" ht="15.75" customHeight="1">
      <c r="D678" s="98"/>
      <c r="F678" s="121"/>
    </row>
    <row r="679" ht="15.75" customHeight="1">
      <c r="D679" s="98"/>
      <c r="F679" s="121"/>
    </row>
    <row r="680" ht="15.75" customHeight="1">
      <c r="D680" s="98"/>
      <c r="F680" s="121"/>
    </row>
    <row r="681" ht="15.75" customHeight="1">
      <c r="D681" s="98"/>
      <c r="F681" s="121"/>
    </row>
    <row r="682" ht="15.75" customHeight="1">
      <c r="D682" s="98"/>
      <c r="F682" s="121"/>
    </row>
    <row r="683" ht="15.75" customHeight="1">
      <c r="D683" s="98"/>
      <c r="F683" s="121"/>
    </row>
    <row r="684" ht="15.75" customHeight="1">
      <c r="D684" s="98"/>
      <c r="F684" s="121"/>
    </row>
    <row r="685" ht="15.75" customHeight="1">
      <c r="D685" s="98"/>
      <c r="F685" s="121"/>
    </row>
    <row r="686" ht="15.75" customHeight="1">
      <c r="D686" s="98"/>
      <c r="F686" s="121"/>
    </row>
    <row r="687" ht="15.75" customHeight="1">
      <c r="D687" s="98"/>
      <c r="F687" s="121"/>
    </row>
    <row r="688" ht="15.75" customHeight="1">
      <c r="D688" s="98"/>
      <c r="F688" s="121"/>
    </row>
    <row r="689" ht="15.75" customHeight="1">
      <c r="D689" s="98"/>
      <c r="F689" s="121"/>
    </row>
    <row r="690" ht="15.75" customHeight="1">
      <c r="D690" s="98"/>
      <c r="F690" s="121"/>
    </row>
    <row r="691" ht="15.75" customHeight="1">
      <c r="D691" s="98"/>
      <c r="F691" s="121"/>
    </row>
    <row r="692" ht="15.75" customHeight="1">
      <c r="D692" s="98"/>
      <c r="F692" s="121"/>
    </row>
    <row r="693" ht="15.75" customHeight="1">
      <c r="D693" s="98"/>
      <c r="F693" s="121"/>
    </row>
    <row r="694" ht="15.75" customHeight="1">
      <c r="D694" s="98"/>
      <c r="F694" s="121"/>
    </row>
    <row r="695" ht="15.75" customHeight="1">
      <c r="D695" s="98"/>
      <c r="F695" s="121"/>
    </row>
    <row r="696" ht="15.75" customHeight="1">
      <c r="D696" s="98"/>
      <c r="F696" s="121"/>
    </row>
    <row r="697" ht="15.75" customHeight="1">
      <c r="D697" s="98"/>
      <c r="F697" s="121"/>
    </row>
    <row r="698" ht="15.75" customHeight="1">
      <c r="D698" s="98"/>
      <c r="F698" s="121"/>
    </row>
    <row r="699" ht="15.75" customHeight="1">
      <c r="D699" s="98"/>
      <c r="F699" s="121"/>
    </row>
    <row r="700" ht="15.75" customHeight="1">
      <c r="D700" s="98"/>
      <c r="F700" s="121"/>
    </row>
    <row r="701" ht="15.75" customHeight="1">
      <c r="D701" s="98"/>
      <c r="F701" s="121"/>
    </row>
    <row r="702" ht="15.75" customHeight="1">
      <c r="D702" s="98"/>
      <c r="F702" s="121"/>
    </row>
    <row r="703" ht="15.75" customHeight="1">
      <c r="D703" s="98"/>
      <c r="F703" s="121"/>
    </row>
    <row r="704" ht="15.75" customHeight="1">
      <c r="D704" s="98"/>
      <c r="F704" s="121"/>
    </row>
    <row r="705" ht="15.75" customHeight="1">
      <c r="D705" s="98"/>
      <c r="F705" s="121"/>
    </row>
    <row r="706" ht="15.75" customHeight="1">
      <c r="D706" s="98"/>
      <c r="F706" s="121"/>
    </row>
    <row r="707" ht="15.75" customHeight="1">
      <c r="D707" s="98"/>
      <c r="F707" s="121"/>
    </row>
    <row r="708" ht="15.75" customHeight="1">
      <c r="D708" s="98"/>
      <c r="F708" s="121"/>
    </row>
    <row r="709" ht="15.75" customHeight="1">
      <c r="D709" s="98"/>
      <c r="F709" s="121"/>
    </row>
    <row r="710" ht="15.75" customHeight="1">
      <c r="D710" s="98"/>
      <c r="F710" s="121"/>
    </row>
    <row r="711" ht="15.75" customHeight="1">
      <c r="D711" s="98"/>
      <c r="F711" s="121"/>
    </row>
    <row r="712" ht="15.75" customHeight="1">
      <c r="D712" s="98"/>
      <c r="F712" s="121"/>
    </row>
    <row r="713" ht="15.75" customHeight="1">
      <c r="D713" s="98"/>
      <c r="F713" s="121"/>
    </row>
    <row r="714" ht="15.75" customHeight="1">
      <c r="D714" s="98"/>
      <c r="F714" s="121"/>
    </row>
    <row r="715" ht="15.75" customHeight="1">
      <c r="D715" s="98"/>
      <c r="F715" s="121"/>
    </row>
    <row r="716" ht="15.75" customHeight="1">
      <c r="D716" s="98"/>
      <c r="F716" s="121"/>
    </row>
    <row r="717" ht="15.75" customHeight="1">
      <c r="D717" s="98"/>
      <c r="F717" s="121"/>
    </row>
    <row r="718" ht="15.75" customHeight="1">
      <c r="D718" s="98"/>
      <c r="F718" s="121"/>
    </row>
    <row r="719" ht="15.75" customHeight="1">
      <c r="D719" s="98"/>
      <c r="F719" s="121"/>
    </row>
    <row r="720" ht="15.75" customHeight="1">
      <c r="D720" s="98"/>
      <c r="F720" s="121"/>
    </row>
    <row r="721" ht="15.75" customHeight="1">
      <c r="D721" s="98"/>
      <c r="F721" s="121"/>
    </row>
    <row r="722" ht="15.75" customHeight="1">
      <c r="D722" s="98"/>
      <c r="F722" s="121"/>
    </row>
    <row r="723" ht="15.75" customHeight="1">
      <c r="D723" s="98"/>
      <c r="F723" s="121"/>
    </row>
    <row r="724" ht="15.75" customHeight="1">
      <c r="D724" s="98"/>
      <c r="F724" s="121"/>
    </row>
    <row r="725" ht="15.75" customHeight="1">
      <c r="D725" s="98"/>
      <c r="F725" s="121"/>
    </row>
    <row r="726" ht="15.75" customHeight="1">
      <c r="D726" s="98"/>
      <c r="F726" s="121"/>
    </row>
    <row r="727" ht="15.75" customHeight="1">
      <c r="D727" s="98"/>
      <c r="F727" s="121"/>
    </row>
    <row r="728" ht="15.75" customHeight="1">
      <c r="D728" s="98"/>
      <c r="F728" s="121"/>
    </row>
    <row r="729" ht="15.75" customHeight="1">
      <c r="D729" s="98"/>
      <c r="F729" s="121"/>
    </row>
    <row r="730" ht="15.75" customHeight="1">
      <c r="D730" s="98"/>
      <c r="F730" s="121"/>
    </row>
    <row r="731" ht="15.75" customHeight="1">
      <c r="D731" s="98"/>
      <c r="F731" s="121"/>
    </row>
    <row r="732" ht="15.75" customHeight="1">
      <c r="D732" s="98"/>
      <c r="F732" s="121"/>
    </row>
    <row r="733" ht="15.75" customHeight="1">
      <c r="D733" s="98"/>
      <c r="F733" s="121"/>
    </row>
    <row r="734" ht="15.75" customHeight="1">
      <c r="D734" s="98"/>
      <c r="F734" s="121"/>
    </row>
    <row r="735" ht="15.75" customHeight="1">
      <c r="D735" s="98"/>
      <c r="F735" s="121"/>
    </row>
    <row r="736" ht="15.75" customHeight="1">
      <c r="D736" s="98"/>
      <c r="F736" s="121"/>
    </row>
    <row r="737" ht="15.75" customHeight="1">
      <c r="D737" s="98"/>
      <c r="F737" s="121"/>
    </row>
    <row r="738" ht="15.75" customHeight="1">
      <c r="D738" s="98"/>
      <c r="F738" s="121"/>
    </row>
    <row r="739" ht="15.75" customHeight="1">
      <c r="D739" s="98"/>
      <c r="F739" s="121"/>
    </row>
    <row r="740" ht="15.75" customHeight="1">
      <c r="D740" s="98"/>
      <c r="F740" s="121"/>
    </row>
    <row r="741" ht="15.75" customHeight="1">
      <c r="D741" s="98"/>
      <c r="F741" s="121"/>
    </row>
    <row r="742" ht="15.75" customHeight="1">
      <c r="D742" s="98"/>
      <c r="F742" s="121"/>
    </row>
    <row r="743" ht="15.75" customHeight="1">
      <c r="D743" s="98"/>
      <c r="F743" s="121"/>
    </row>
    <row r="744" ht="15.75" customHeight="1">
      <c r="D744" s="98"/>
      <c r="F744" s="121"/>
    </row>
    <row r="745" ht="15.75" customHeight="1">
      <c r="D745" s="98"/>
      <c r="F745" s="121"/>
    </row>
    <row r="746" ht="15.75" customHeight="1">
      <c r="D746" s="98"/>
      <c r="F746" s="121"/>
    </row>
    <row r="747" ht="15.75" customHeight="1">
      <c r="D747" s="98"/>
      <c r="F747" s="121"/>
    </row>
    <row r="748" ht="15.75" customHeight="1">
      <c r="D748" s="98"/>
      <c r="F748" s="121"/>
    </row>
    <row r="749" ht="15.75" customHeight="1">
      <c r="D749" s="98"/>
      <c r="F749" s="121"/>
    </row>
    <row r="750" ht="15.75" customHeight="1">
      <c r="D750" s="98"/>
      <c r="F750" s="121"/>
    </row>
    <row r="751" ht="15.75" customHeight="1">
      <c r="D751" s="98"/>
      <c r="F751" s="121"/>
    </row>
    <row r="752" ht="15.75" customHeight="1">
      <c r="D752" s="98"/>
      <c r="F752" s="121"/>
    </row>
    <row r="753" ht="15.75" customHeight="1">
      <c r="D753" s="98"/>
      <c r="F753" s="121"/>
    </row>
    <row r="754" ht="15.75" customHeight="1">
      <c r="D754" s="98"/>
      <c r="F754" s="121"/>
    </row>
    <row r="755" ht="15.75" customHeight="1">
      <c r="D755" s="98"/>
      <c r="F755" s="121"/>
    </row>
    <row r="756" ht="15.75" customHeight="1">
      <c r="D756" s="98"/>
      <c r="F756" s="121"/>
    </row>
    <row r="757" ht="15.75" customHeight="1">
      <c r="D757" s="98"/>
      <c r="F757" s="121"/>
    </row>
    <row r="758" ht="15.75" customHeight="1">
      <c r="D758" s="98"/>
      <c r="F758" s="121"/>
    </row>
    <row r="759" ht="15.75" customHeight="1">
      <c r="D759" s="98"/>
      <c r="F759" s="121"/>
    </row>
    <row r="760" ht="15.75" customHeight="1">
      <c r="D760" s="98"/>
      <c r="F760" s="121"/>
    </row>
    <row r="761" ht="15.75" customHeight="1">
      <c r="D761" s="98"/>
      <c r="F761" s="121"/>
    </row>
    <row r="762" ht="15.75" customHeight="1">
      <c r="D762" s="98"/>
      <c r="F762" s="121"/>
    </row>
    <row r="763" ht="15.75" customHeight="1">
      <c r="D763" s="98"/>
      <c r="F763" s="121"/>
    </row>
    <row r="764" ht="15.75" customHeight="1">
      <c r="D764" s="98"/>
      <c r="F764" s="121"/>
    </row>
    <row r="765" ht="15.75" customHeight="1">
      <c r="D765" s="98"/>
      <c r="F765" s="121"/>
    </row>
    <row r="766" ht="15.75" customHeight="1">
      <c r="D766" s="98"/>
      <c r="F766" s="121"/>
    </row>
    <row r="767" ht="15.75" customHeight="1">
      <c r="D767" s="98"/>
      <c r="F767" s="121"/>
    </row>
    <row r="768" ht="15.75" customHeight="1">
      <c r="D768" s="98"/>
      <c r="F768" s="121"/>
    </row>
    <row r="769" ht="15.75" customHeight="1">
      <c r="D769" s="98"/>
      <c r="F769" s="121"/>
    </row>
    <row r="770" ht="15.75" customHeight="1">
      <c r="D770" s="98"/>
      <c r="F770" s="121"/>
    </row>
    <row r="771" ht="15.75" customHeight="1">
      <c r="D771" s="98"/>
      <c r="F771" s="121"/>
    </row>
    <row r="772" ht="15.75" customHeight="1">
      <c r="D772" s="98"/>
      <c r="F772" s="121"/>
    </row>
    <row r="773" ht="15.75" customHeight="1">
      <c r="D773" s="98"/>
      <c r="F773" s="121"/>
    </row>
    <row r="774" ht="15.75" customHeight="1">
      <c r="D774" s="98"/>
      <c r="F774" s="121"/>
    </row>
    <row r="775" ht="15.75" customHeight="1">
      <c r="D775" s="98"/>
      <c r="F775" s="121"/>
    </row>
    <row r="776" ht="15.75" customHeight="1">
      <c r="D776" s="98"/>
      <c r="F776" s="121"/>
    </row>
    <row r="777" ht="15.75" customHeight="1">
      <c r="D777" s="98"/>
      <c r="F777" s="121"/>
    </row>
    <row r="778" ht="15.75" customHeight="1">
      <c r="D778" s="98"/>
      <c r="F778" s="121"/>
    </row>
    <row r="779" ht="15.75" customHeight="1">
      <c r="D779" s="98"/>
      <c r="F779" s="121"/>
    </row>
    <row r="780" ht="15.75" customHeight="1">
      <c r="D780" s="98"/>
      <c r="F780" s="121"/>
    </row>
    <row r="781" ht="15.75" customHeight="1">
      <c r="D781" s="98"/>
      <c r="F781" s="121"/>
    </row>
    <row r="782" ht="15.75" customHeight="1">
      <c r="D782" s="98"/>
      <c r="F782" s="121"/>
    </row>
    <row r="783" ht="15.75" customHeight="1">
      <c r="D783" s="98"/>
      <c r="F783" s="121"/>
    </row>
    <row r="784" ht="15.75" customHeight="1">
      <c r="D784" s="98"/>
      <c r="F784" s="121"/>
    </row>
    <row r="785" ht="15.75" customHeight="1">
      <c r="D785" s="98"/>
      <c r="F785" s="121"/>
    </row>
    <row r="786" ht="15.75" customHeight="1">
      <c r="D786" s="98"/>
      <c r="F786" s="121"/>
    </row>
    <row r="787" ht="15.75" customHeight="1">
      <c r="D787" s="98"/>
      <c r="F787" s="121"/>
    </row>
    <row r="788" ht="15.75" customHeight="1">
      <c r="D788" s="98"/>
      <c r="F788" s="121"/>
    </row>
    <row r="789" ht="15.75" customHeight="1">
      <c r="D789" s="98"/>
      <c r="F789" s="121"/>
    </row>
    <row r="790" ht="15.75" customHeight="1">
      <c r="D790" s="98"/>
      <c r="F790" s="121"/>
    </row>
    <row r="791" ht="15.75" customHeight="1">
      <c r="D791" s="98"/>
      <c r="F791" s="121"/>
    </row>
    <row r="792" ht="15.75" customHeight="1">
      <c r="D792" s="98"/>
      <c r="F792" s="121"/>
    </row>
    <row r="793" ht="15.75" customHeight="1">
      <c r="D793" s="98"/>
      <c r="F793" s="121"/>
    </row>
    <row r="794" ht="15.75" customHeight="1">
      <c r="D794" s="98"/>
      <c r="F794" s="121"/>
    </row>
    <row r="795" ht="15.75" customHeight="1">
      <c r="D795" s="98"/>
      <c r="F795" s="121"/>
    </row>
    <row r="796" ht="15.75" customHeight="1">
      <c r="D796" s="98"/>
      <c r="F796" s="121"/>
    </row>
    <row r="797" ht="15.75" customHeight="1">
      <c r="D797" s="98"/>
      <c r="F797" s="121"/>
    </row>
    <row r="798" ht="15.75" customHeight="1">
      <c r="D798" s="98"/>
      <c r="F798" s="121"/>
    </row>
    <row r="799" ht="15.75" customHeight="1">
      <c r="D799" s="98"/>
      <c r="F799" s="121"/>
    </row>
    <row r="800" ht="15.75" customHeight="1">
      <c r="D800" s="98"/>
      <c r="F800" s="121"/>
    </row>
    <row r="801" ht="15.75" customHeight="1">
      <c r="D801" s="98"/>
      <c r="F801" s="121"/>
    </row>
    <row r="802" ht="15.75" customHeight="1">
      <c r="D802" s="98"/>
      <c r="F802" s="121"/>
    </row>
    <row r="803" ht="15.75" customHeight="1">
      <c r="D803" s="98"/>
      <c r="F803" s="121"/>
    </row>
    <row r="804" ht="15.75" customHeight="1">
      <c r="D804" s="98"/>
      <c r="F804" s="121"/>
    </row>
    <row r="805" ht="15.75" customHeight="1">
      <c r="D805" s="98"/>
      <c r="F805" s="121"/>
    </row>
    <row r="806" ht="15.75" customHeight="1">
      <c r="D806" s="98"/>
      <c r="F806" s="121"/>
    </row>
    <row r="807" ht="15.75" customHeight="1">
      <c r="D807" s="98"/>
      <c r="F807" s="121"/>
    </row>
    <row r="808" ht="15.75" customHeight="1">
      <c r="D808" s="98"/>
      <c r="F808" s="121"/>
    </row>
    <row r="809" ht="15.75" customHeight="1">
      <c r="D809" s="98"/>
      <c r="F809" s="121"/>
    </row>
    <row r="810" ht="15.75" customHeight="1">
      <c r="D810" s="98"/>
      <c r="F810" s="121"/>
    </row>
    <row r="811" ht="15.75" customHeight="1">
      <c r="D811" s="98"/>
      <c r="F811" s="121"/>
    </row>
    <row r="812" ht="15.75" customHeight="1">
      <c r="D812" s="98"/>
      <c r="F812" s="121"/>
    </row>
    <row r="813" ht="15.75" customHeight="1">
      <c r="D813" s="98"/>
      <c r="F813" s="121"/>
    </row>
    <row r="814" ht="15.75" customHeight="1">
      <c r="D814" s="98"/>
      <c r="F814" s="121"/>
    </row>
    <row r="815" ht="15.75" customHeight="1">
      <c r="D815" s="98"/>
      <c r="F815" s="121"/>
    </row>
    <row r="816" ht="15.75" customHeight="1">
      <c r="D816" s="98"/>
      <c r="F816" s="121"/>
    </row>
    <row r="817" ht="15.75" customHeight="1">
      <c r="D817" s="98"/>
      <c r="F817" s="121"/>
    </row>
    <row r="818" ht="15.75" customHeight="1">
      <c r="D818" s="98"/>
      <c r="F818" s="121"/>
    </row>
    <row r="819" ht="15.75" customHeight="1">
      <c r="D819" s="98"/>
      <c r="F819" s="121"/>
    </row>
    <row r="820" ht="15.75" customHeight="1">
      <c r="D820" s="98"/>
      <c r="F820" s="121"/>
    </row>
    <row r="821" ht="15.75" customHeight="1">
      <c r="D821" s="98"/>
      <c r="F821" s="121"/>
    </row>
    <row r="822" ht="15.75" customHeight="1">
      <c r="D822" s="98"/>
      <c r="F822" s="121"/>
    </row>
    <row r="823" ht="15.75" customHeight="1">
      <c r="D823" s="98"/>
      <c r="F823" s="121"/>
    </row>
    <row r="824" ht="15.75" customHeight="1">
      <c r="D824" s="98"/>
      <c r="F824" s="121"/>
    </row>
    <row r="825" ht="15.75" customHeight="1">
      <c r="D825" s="98"/>
      <c r="F825" s="121"/>
    </row>
    <row r="826" ht="15.75" customHeight="1">
      <c r="D826" s="98"/>
      <c r="F826" s="121"/>
    </row>
    <row r="827" ht="15.75" customHeight="1">
      <c r="D827" s="98"/>
      <c r="F827" s="121"/>
    </row>
    <row r="828" ht="15.75" customHeight="1">
      <c r="D828" s="98"/>
      <c r="F828" s="121"/>
    </row>
    <row r="829" ht="15.75" customHeight="1">
      <c r="D829" s="98"/>
      <c r="F829" s="121"/>
    </row>
    <row r="830" ht="15.75" customHeight="1">
      <c r="D830" s="98"/>
      <c r="F830" s="121"/>
    </row>
    <row r="831" ht="15.75" customHeight="1">
      <c r="D831" s="98"/>
      <c r="F831" s="121"/>
    </row>
    <row r="832" ht="15.75" customHeight="1">
      <c r="D832" s="98"/>
      <c r="F832" s="121"/>
    </row>
    <row r="833" ht="15.75" customHeight="1">
      <c r="D833" s="98"/>
      <c r="F833" s="121"/>
    </row>
    <row r="834" ht="15.75" customHeight="1">
      <c r="D834" s="98"/>
      <c r="F834" s="121"/>
    </row>
    <row r="835" ht="15.75" customHeight="1">
      <c r="D835" s="98"/>
      <c r="F835" s="121"/>
    </row>
    <row r="836" ht="15.75" customHeight="1">
      <c r="D836" s="98"/>
      <c r="F836" s="121"/>
    </row>
    <row r="837" ht="15.75" customHeight="1">
      <c r="D837" s="98"/>
      <c r="F837" s="121"/>
    </row>
    <row r="838" ht="15.75" customHeight="1">
      <c r="D838" s="98"/>
      <c r="F838" s="121"/>
    </row>
    <row r="839" ht="15.75" customHeight="1">
      <c r="D839" s="98"/>
      <c r="F839" s="121"/>
    </row>
    <row r="840" ht="15.75" customHeight="1">
      <c r="D840" s="98"/>
      <c r="F840" s="121"/>
    </row>
    <row r="841" ht="15.75" customHeight="1">
      <c r="D841" s="98"/>
      <c r="F841" s="121"/>
    </row>
    <row r="842" ht="15.75" customHeight="1">
      <c r="D842" s="98"/>
      <c r="F842" s="121"/>
    </row>
    <row r="843" ht="15.75" customHeight="1">
      <c r="D843" s="98"/>
      <c r="F843" s="121"/>
    </row>
    <row r="844" ht="15.75" customHeight="1">
      <c r="D844" s="98"/>
      <c r="F844" s="121"/>
    </row>
    <row r="845" ht="15.75" customHeight="1">
      <c r="D845" s="98"/>
      <c r="F845" s="121"/>
    </row>
    <row r="846" ht="15.75" customHeight="1">
      <c r="D846" s="98"/>
      <c r="F846" s="121"/>
    </row>
    <row r="847" ht="15.75" customHeight="1">
      <c r="D847" s="98"/>
      <c r="F847" s="121"/>
    </row>
    <row r="848" ht="15.75" customHeight="1">
      <c r="D848" s="98"/>
      <c r="F848" s="121"/>
    </row>
    <row r="849" ht="15.75" customHeight="1">
      <c r="D849" s="98"/>
      <c r="F849" s="121"/>
    </row>
    <row r="850" ht="15.75" customHeight="1">
      <c r="D850" s="98"/>
      <c r="F850" s="121"/>
    </row>
    <row r="851" ht="15.75" customHeight="1">
      <c r="D851" s="98"/>
      <c r="F851" s="121"/>
    </row>
    <row r="852" ht="15.75" customHeight="1">
      <c r="D852" s="98"/>
      <c r="F852" s="121"/>
    </row>
    <row r="853" ht="15.75" customHeight="1">
      <c r="D853" s="98"/>
      <c r="F853" s="121"/>
    </row>
    <row r="854" ht="15.75" customHeight="1">
      <c r="D854" s="98"/>
      <c r="F854" s="121"/>
    </row>
    <row r="855" ht="15.75" customHeight="1">
      <c r="D855" s="98"/>
      <c r="F855" s="121"/>
    </row>
    <row r="856" ht="15.75" customHeight="1">
      <c r="D856" s="98"/>
      <c r="F856" s="121"/>
    </row>
    <row r="857" ht="15.75" customHeight="1">
      <c r="D857" s="98"/>
      <c r="F857" s="121"/>
    </row>
    <row r="858" ht="15.75" customHeight="1">
      <c r="D858" s="98"/>
      <c r="F858" s="121"/>
    </row>
    <row r="859" ht="15.75" customHeight="1">
      <c r="D859" s="98"/>
      <c r="F859" s="121"/>
    </row>
    <row r="860" ht="15.75" customHeight="1">
      <c r="D860" s="98"/>
      <c r="F860" s="121"/>
    </row>
    <row r="861" ht="15.75" customHeight="1">
      <c r="D861" s="98"/>
      <c r="F861" s="121"/>
    </row>
    <row r="862" ht="15.75" customHeight="1">
      <c r="D862" s="98"/>
      <c r="F862" s="121"/>
    </row>
    <row r="863" ht="15.75" customHeight="1">
      <c r="D863" s="98"/>
      <c r="F863" s="121"/>
    </row>
    <row r="864" ht="15.75" customHeight="1">
      <c r="D864" s="98"/>
      <c r="F864" s="121"/>
    </row>
    <row r="865" ht="15.75" customHeight="1">
      <c r="D865" s="98"/>
      <c r="F865" s="121"/>
    </row>
    <row r="866" ht="15.75" customHeight="1">
      <c r="D866" s="98"/>
      <c r="F866" s="121"/>
    </row>
    <row r="867" ht="15.75" customHeight="1">
      <c r="D867" s="98"/>
      <c r="F867" s="121"/>
    </row>
    <row r="868" ht="15.75" customHeight="1">
      <c r="D868" s="98"/>
      <c r="F868" s="121"/>
    </row>
    <row r="869" ht="15.75" customHeight="1">
      <c r="D869" s="98"/>
      <c r="F869" s="121"/>
    </row>
    <row r="870" ht="15.75" customHeight="1">
      <c r="D870" s="98"/>
      <c r="F870" s="121"/>
    </row>
    <row r="871" ht="15.75" customHeight="1">
      <c r="D871" s="98"/>
      <c r="F871" s="121"/>
    </row>
    <row r="872" ht="15.75" customHeight="1">
      <c r="D872" s="98"/>
      <c r="F872" s="121"/>
    </row>
    <row r="873" ht="15.75" customHeight="1">
      <c r="D873" s="98"/>
      <c r="F873" s="121"/>
    </row>
    <row r="874" ht="15.75" customHeight="1">
      <c r="D874" s="98"/>
      <c r="F874" s="121"/>
    </row>
    <row r="875" ht="15.75" customHeight="1">
      <c r="D875" s="98"/>
      <c r="F875" s="121"/>
    </row>
    <row r="876" ht="15.75" customHeight="1">
      <c r="D876" s="98"/>
      <c r="F876" s="121"/>
    </row>
    <row r="877" ht="15.75" customHeight="1">
      <c r="D877" s="98"/>
      <c r="F877" s="121"/>
    </row>
    <row r="878" ht="15.75" customHeight="1">
      <c r="D878" s="98"/>
      <c r="F878" s="121"/>
    </row>
    <row r="879" ht="15.75" customHeight="1">
      <c r="D879" s="98"/>
      <c r="F879" s="121"/>
    </row>
    <row r="880" ht="15.75" customHeight="1">
      <c r="D880" s="98"/>
      <c r="F880" s="121"/>
    </row>
    <row r="881" ht="15.75" customHeight="1">
      <c r="D881" s="98"/>
      <c r="F881" s="121"/>
    </row>
    <row r="882" ht="15.75" customHeight="1">
      <c r="D882" s="98"/>
      <c r="F882" s="121"/>
    </row>
    <row r="883" ht="15.75" customHeight="1">
      <c r="D883" s="98"/>
      <c r="F883" s="121"/>
    </row>
    <row r="884" ht="15.75" customHeight="1">
      <c r="D884" s="98"/>
      <c r="F884" s="121"/>
    </row>
    <row r="885" ht="15.75" customHeight="1">
      <c r="D885" s="98"/>
      <c r="F885" s="121"/>
    </row>
    <row r="886" ht="15.75" customHeight="1">
      <c r="D886" s="98"/>
      <c r="F886" s="121"/>
    </row>
    <row r="887" ht="15.75" customHeight="1">
      <c r="D887" s="98"/>
      <c r="F887" s="121"/>
    </row>
    <row r="888" ht="15.75" customHeight="1">
      <c r="D888" s="98"/>
      <c r="F888" s="121"/>
    </row>
    <row r="889" ht="15.75" customHeight="1">
      <c r="D889" s="98"/>
      <c r="F889" s="121"/>
    </row>
    <row r="890" ht="15.75" customHeight="1">
      <c r="D890" s="98"/>
      <c r="F890" s="121"/>
    </row>
    <row r="891" ht="15.75" customHeight="1">
      <c r="D891" s="98"/>
      <c r="F891" s="121"/>
    </row>
    <row r="892" ht="15.75" customHeight="1">
      <c r="D892" s="98"/>
      <c r="F892" s="121"/>
    </row>
    <row r="893" ht="15.75" customHeight="1">
      <c r="D893" s="98"/>
      <c r="F893" s="121"/>
    </row>
    <row r="894" ht="15.75" customHeight="1">
      <c r="D894" s="98"/>
      <c r="F894" s="121"/>
    </row>
    <row r="895" ht="15.75" customHeight="1">
      <c r="D895" s="98"/>
      <c r="F895" s="121"/>
    </row>
    <row r="896" ht="15.75" customHeight="1">
      <c r="D896" s="98"/>
      <c r="F896" s="121"/>
    </row>
    <row r="897" ht="15.75" customHeight="1">
      <c r="D897" s="98"/>
      <c r="F897" s="121"/>
    </row>
    <row r="898" ht="15.75" customHeight="1">
      <c r="D898" s="98"/>
      <c r="F898" s="121"/>
    </row>
    <row r="899" ht="15.75" customHeight="1">
      <c r="D899" s="98"/>
      <c r="F899" s="121"/>
    </row>
    <row r="900" ht="15.75" customHeight="1">
      <c r="D900" s="98"/>
      <c r="F900" s="121"/>
    </row>
    <row r="901" ht="15.75" customHeight="1">
      <c r="D901" s="98"/>
      <c r="F901" s="121"/>
    </row>
    <row r="902" ht="15.75" customHeight="1">
      <c r="D902" s="98"/>
      <c r="F902" s="121"/>
    </row>
    <row r="903" ht="15.75" customHeight="1">
      <c r="D903" s="98"/>
      <c r="F903" s="121"/>
    </row>
    <row r="904" ht="15.75" customHeight="1">
      <c r="D904" s="98"/>
      <c r="F904" s="121"/>
    </row>
    <row r="905" ht="15.75" customHeight="1">
      <c r="D905" s="98"/>
      <c r="F905" s="121"/>
    </row>
    <row r="906" ht="15.75" customHeight="1">
      <c r="D906" s="98"/>
      <c r="F906" s="121"/>
    </row>
    <row r="907" ht="15.75" customHeight="1">
      <c r="D907" s="98"/>
      <c r="F907" s="121"/>
    </row>
    <row r="908" ht="15.75" customHeight="1">
      <c r="D908" s="98"/>
      <c r="F908" s="121"/>
    </row>
    <row r="909" ht="15.75" customHeight="1">
      <c r="D909" s="98"/>
      <c r="F909" s="121"/>
    </row>
    <row r="910" ht="15.75" customHeight="1">
      <c r="D910" s="98"/>
      <c r="F910" s="121"/>
    </row>
    <row r="911" ht="15.75" customHeight="1">
      <c r="D911" s="98"/>
      <c r="F911" s="121"/>
    </row>
    <row r="912" ht="15.75" customHeight="1">
      <c r="D912" s="98"/>
      <c r="F912" s="121"/>
    </row>
    <row r="913" ht="15.75" customHeight="1">
      <c r="D913" s="98"/>
      <c r="F913" s="121"/>
    </row>
    <row r="914" ht="15.75" customHeight="1">
      <c r="D914" s="98"/>
      <c r="F914" s="121"/>
    </row>
    <row r="915" ht="15.75" customHeight="1">
      <c r="D915" s="98"/>
      <c r="F915" s="121"/>
    </row>
    <row r="916" ht="15.75" customHeight="1">
      <c r="D916" s="98"/>
      <c r="F916" s="121"/>
    </row>
    <row r="917" ht="15.75" customHeight="1">
      <c r="D917" s="98"/>
      <c r="F917" s="121"/>
    </row>
    <row r="918" ht="15.75" customHeight="1">
      <c r="D918" s="98"/>
      <c r="F918" s="121"/>
    </row>
    <row r="919" ht="15.75" customHeight="1">
      <c r="D919" s="98"/>
      <c r="F919" s="121"/>
    </row>
    <row r="920" ht="15.75" customHeight="1">
      <c r="D920" s="98"/>
      <c r="F920" s="121"/>
    </row>
    <row r="921" ht="15.75" customHeight="1">
      <c r="D921" s="98"/>
      <c r="F921" s="121"/>
    </row>
    <row r="922" ht="15.75" customHeight="1">
      <c r="D922" s="98"/>
      <c r="F922" s="121"/>
    </row>
    <row r="923" ht="15.75" customHeight="1">
      <c r="D923" s="98"/>
      <c r="F923" s="121"/>
    </row>
    <row r="924" ht="15.75" customHeight="1">
      <c r="D924" s="98"/>
      <c r="F924" s="121"/>
    </row>
    <row r="925" ht="15.75" customHeight="1">
      <c r="D925" s="98"/>
      <c r="F925" s="121"/>
    </row>
    <row r="926" ht="15.75" customHeight="1">
      <c r="D926" s="98"/>
      <c r="F926" s="121"/>
    </row>
    <row r="927" ht="15.75" customHeight="1">
      <c r="D927" s="98"/>
      <c r="F927" s="121"/>
    </row>
    <row r="928" ht="15.75" customHeight="1">
      <c r="D928" s="98"/>
      <c r="F928" s="121"/>
    </row>
    <row r="929" ht="15.75" customHeight="1">
      <c r="D929" s="98"/>
      <c r="F929" s="121"/>
    </row>
    <row r="930" ht="15.75" customHeight="1">
      <c r="D930" s="98"/>
      <c r="F930" s="121"/>
    </row>
    <row r="931" ht="15.75" customHeight="1">
      <c r="D931" s="98"/>
      <c r="F931" s="121"/>
    </row>
    <row r="932" ht="15.75" customHeight="1">
      <c r="D932" s="98"/>
      <c r="F932" s="121"/>
    </row>
    <row r="933" ht="15.75" customHeight="1">
      <c r="D933" s="98"/>
      <c r="F933" s="121"/>
    </row>
    <row r="934" ht="15.75" customHeight="1">
      <c r="D934" s="98"/>
      <c r="F934" s="121"/>
    </row>
    <row r="935" ht="15.75" customHeight="1">
      <c r="D935" s="98"/>
      <c r="F935" s="121"/>
    </row>
    <row r="936" ht="15.75" customHeight="1">
      <c r="D936" s="98"/>
      <c r="F936" s="121"/>
    </row>
    <row r="937" ht="15.75" customHeight="1">
      <c r="D937" s="98"/>
      <c r="F937" s="121"/>
    </row>
    <row r="938" ht="15.75" customHeight="1">
      <c r="D938" s="98"/>
      <c r="F938" s="121"/>
    </row>
    <row r="939" ht="15.75" customHeight="1">
      <c r="D939" s="98"/>
      <c r="F939" s="121"/>
    </row>
    <row r="940" ht="15.75" customHeight="1">
      <c r="D940" s="98"/>
      <c r="F940" s="121"/>
    </row>
    <row r="941" ht="15.75" customHeight="1">
      <c r="D941" s="98"/>
      <c r="F941" s="121"/>
    </row>
    <row r="942" ht="15.75" customHeight="1">
      <c r="D942" s="98"/>
      <c r="F942" s="121"/>
    </row>
    <row r="943" ht="15.75" customHeight="1">
      <c r="D943" s="98"/>
      <c r="F943" s="121"/>
    </row>
    <row r="944" ht="15.75" customHeight="1">
      <c r="D944" s="98"/>
      <c r="F944" s="121"/>
    </row>
    <row r="945" ht="15.75" customHeight="1">
      <c r="D945" s="98"/>
      <c r="F945" s="121"/>
    </row>
    <row r="946" ht="15.75" customHeight="1">
      <c r="D946" s="98"/>
      <c r="F946" s="121"/>
    </row>
    <row r="947" ht="15.75" customHeight="1">
      <c r="D947" s="98"/>
      <c r="F947" s="121"/>
    </row>
    <row r="948" ht="15.75" customHeight="1">
      <c r="D948" s="98"/>
      <c r="F948" s="121"/>
    </row>
    <row r="949" ht="15.75" customHeight="1">
      <c r="D949" s="98"/>
      <c r="F949" s="121"/>
    </row>
    <row r="950" ht="15.75" customHeight="1">
      <c r="D950" s="98"/>
      <c r="F950" s="121"/>
    </row>
    <row r="951" ht="15.75" customHeight="1">
      <c r="D951" s="98"/>
      <c r="F951" s="121"/>
    </row>
    <row r="952" ht="15.75" customHeight="1">
      <c r="D952" s="98"/>
      <c r="F952" s="121"/>
    </row>
    <row r="953" ht="15.75" customHeight="1">
      <c r="D953" s="98"/>
      <c r="F953" s="121"/>
    </row>
    <row r="954" ht="15.75" customHeight="1">
      <c r="D954" s="98"/>
      <c r="F954" s="121"/>
    </row>
    <row r="955" ht="15.75" customHeight="1">
      <c r="D955" s="98"/>
      <c r="F955" s="121"/>
    </row>
    <row r="956" ht="15.75" customHeight="1">
      <c r="D956" s="98"/>
      <c r="F956" s="121"/>
    </row>
    <row r="957" ht="15.75" customHeight="1">
      <c r="D957" s="98"/>
      <c r="F957" s="121"/>
    </row>
    <row r="958" ht="15.75" customHeight="1">
      <c r="D958" s="98"/>
      <c r="F958" s="121"/>
    </row>
    <row r="959" ht="15.75" customHeight="1">
      <c r="D959" s="98"/>
      <c r="F959" s="121"/>
    </row>
    <row r="960" ht="15.75" customHeight="1">
      <c r="D960" s="98"/>
      <c r="F960" s="121"/>
    </row>
    <row r="961" ht="15.75" customHeight="1">
      <c r="D961" s="98"/>
      <c r="F961" s="121"/>
    </row>
    <row r="962" ht="15.75" customHeight="1">
      <c r="D962" s="98"/>
      <c r="F962" s="121"/>
    </row>
    <row r="963" ht="15.75" customHeight="1">
      <c r="D963" s="98"/>
      <c r="F963" s="121"/>
    </row>
    <row r="964" ht="15.75" customHeight="1">
      <c r="D964" s="98"/>
      <c r="F964" s="121"/>
    </row>
    <row r="965" ht="15.75" customHeight="1">
      <c r="D965" s="98"/>
      <c r="F965" s="121"/>
    </row>
    <row r="966" ht="15.75" customHeight="1">
      <c r="D966" s="98"/>
      <c r="F966" s="121"/>
    </row>
    <row r="967" ht="15.75" customHeight="1">
      <c r="D967" s="98"/>
      <c r="F967" s="121"/>
    </row>
    <row r="968" ht="15.75" customHeight="1">
      <c r="D968" s="98"/>
      <c r="F968" s="121"/>
    </row>
    <row r="969" ht="15.75" customHeight="1">
      <c r="D969" s="98"/>
      <c r="F969" s="121"/>
    </row>
    <row r="970" ht="15.75" customHeight="1">
      <c r="D970" s="98"/>
      <c r="F970" s="121"/>
    </row>
    <row r="971" ht="15.75" customHeight="1">
      <c r="D971" s="98"/>
      <c r="F971" s="121"/>
    </row>
    <row r="972" ht="15.75" customHeight="1">
      <c r="D972" s="98"/>
      <c r="F972" s="121"/>
    </row>
    <row r="973" ht="15.75" customHeight="1">
      <c r="D973" s="98"/>
      <c r="F973" s="121"/>
    </row>
    <row r="974" ht="15.75" customHeight="1">
      <c r="D974" s="98"/>
      <c r="F974" s="121"/>
    </row>
    <row r="975" ht="15.75" customHeight="1">
      <c r="D975" s="98"/>
      <c r="F975" s="121"/>
    </row>
    <row r="976" ht="15.75" customHeight="1">
      <c r="D976" s="98"/>
      <c r="F976" s="121"/>
    </row>
    <row r="977" ht="15.75" customHeight="1">
      <c r="D977" s="98"/>
      <c r="F977" s="121"/>
    </row>
    <row r="978" ht="15.75" customHeight="1">
      <c r="D978" s="98"/>
      <c r="F978" s="121"/>
    </row>
    <row r="979" ht="15.75" customHeight="1">
      <c r="D979" s="98"/>
      <c r="F979" s="121"/>
    </row>
    <row r="980" ht="15.75" customHeight="1">
      <c r="D980" s="98"/>
      <c r="F980" s="121"/>
    </row>
    <row r="981" ht="15.75" customHeight="1">
      <c r="D981" s="98"/>
      <c r="F981" s="121"/>
    </row>
    <row r="982" ht="15.75" customHeight="1">
      <c r="D982" s="98"/>
      <c r="F982" s="121"/>
    </row>
    <row r="983" ht="15.75" customHeight="1">
      <c r="D983" s="98"/>
      <c r="F983" s="121"/>
    </row>
    <row r="984" ht="15.75" customHeight="1">
      <c r="D984" s="98"/>
      <c r="F984" s="121"/>
    </row>
    <row r="985" ht="15.75" customHeight="1">
      <c r="D985" s="98"/>
      <c r="F985" s="121"/>
    </row>
    <row r="986" ht="15.75" customHeight="1">
      <c r="D986" s="98"/>
      <c r="F986" s="121"/>
    </row>
    <row r="987" ht="15.75" customHeight="1">
      <c r="D987" s="98"/>
      <c r="F987" s="121"/>
    </row>
    <row r="988" ht="15.75" customHeight="1">
      <c r="D988" s="98"/>
      <c r="F988" s="121"/>
    </row>
    <row r="989" ht="15.75" customHeight="1">
      <c r="D989" s="98"/>
      <c r="F989" s="121"/>
    </row>
    <row r="990" ht="15.75" customHeight="1">
      <c r="D990" s="98"/>
      <c r="F990" s="121"/>
    </row>
    <row r="991" ht="15.75" customHeight="1">
      <c r="D991" s="98"/>
      <c r="F991" s="121"/>
    </row>
    <row r="992" ht="15.75" customHeight="1">
      <c r="D992" s="98"/>
      <c r="F992" s="121"/>
    </row>
    <row r="993" ht="15.75" customHeight="1">
      <c r="D993" s="98"/>
      <c r="F993" s="121"/>
    </row>
    <row r="994" ht="15.75" customHeight="1">
      <c r="D994" s="98"/>
      <c r="F994" s="121"/>
    </row>
    <row r="995" ht="15.75" customHeight="1">
      <c r="D995" s="98"/>
      <c r="F995" s="121"/>
    </row>
    <row r="996" ht="15.75" customHeight="1">
      <c r="D996" s="98"/>
      <c r="F996" s="121"/>
    </row>
    <row r="997" ht="15.75" customHeight="1">
      <c r="D997" s="98"/>
      <c r="F997" s="121"/>
    </row>
    <row r="998" ht="15.75" customHeight="1">
      <c r="D998" s="98"/>
      <c r="F998" s="121"/>
    </row>
    <row r="999" ht="15.75" customHeight="1">
      <c r="D999" s="98"/>
      <c r="F999" s="121"/>
    </row>
    <row r="1000" ht="15.75" customHeight="1">
      <c r="D1000" s="98"/>
      <c r="F1000" s="121"/>
    </row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37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522.0</v>
      </c>
    </row>
    <row r="5">
      <c r="A5" s="151">
        <v>44930.0</v>
      </c>
      <c r="B5" s="152" t="s">
        <v>192</v>
      </c>
      <c r="C5" s="153"/>
      <c r="D5" s="152">
        <v>72.0</v>
      </c>
      <c r="E5" s="153">
        <f t="shared" ref="E5:E22" si="1">E4-D5+C5</f>
        <v>450</v>
      </c>
    </row>
    <row r="6">
      <c r="A6" s="151">
        <v>44940.0</v>
      </c>
      <c r="B6" s="152" t="s">
        <v>193</v>
      </c>
      <c r="C6" s="153"/>
      <c r="D6" s="152">
        <v>144.0</v>
      </c>
      <c r="E6" s="153">
        <f t="shared" si="1"/>
        <v>306</v>
      </c>
    </row>
    <row r="7">
      <c r="A7" s="151">
        <v>44942.0</v>
      </c>
      <c r="B7" s="152" t="s">
        <v>194</v>
      </c>
      <c r="C7" s="153"/>
      <c r="D7" s="152">
        <v>72.0</v>
      </c>
      <c r="E7" s="153">
        <f t="shared" si="1"/>
        <v>234</v>
      </c>
    </row>
    <row r="8">
      <c r="A8" s="151">
        <v>44943.0</v>
      </c>
      <c r="B8" s="152" t="s">
        <v>195</v>
      </c>
      <c r="C8" s="153"/>
      <c r="D8" s="152">
        <v>72.0</v>
      </c>
      <c r="E8" s="153">
        <f t="shared" si="1"/>
        <v>162</v>
      </c>
    </row>
    <row r="9">
      <c r="A9" s="151">
        <v>44945.0</v>
      </c>
      <c r="B9" s="152" t="s">
        <v>196</v>
      </c>
      <c r="C9" s="153"/>
      <c r="D9" s="152">
        <v>72.0</v>
      </c>
      <c r="E9" s="153">
        <f t="shared" si="1"/>
        <v>90</v>
      </c>
    </row>
    <row r="10">
      <c r="A10" s="151">
        <v>44946.0</v>
      </c>
      <c r="B10" s="152" t="s">
        <v>197</v>
      </c>
      <c r="C10" s="153"/>
      <c r="D10" s="152">
        <v>72.0</v>
      </c>
      <c r="E10" s="153">
        <f t="shared" si="1"/>
        <v>18</v>
      </c>
    </row>
    <row r="11">
      <c r="A11" s="151">
        <v>44953.0</v>
      </c>
      <c r="B11" s="152" t="s">
        <v>198</v>
      </c>
      <c r="C11" s="153">
        <v>720.0</v>
      </c>
      <c r="D11" s="152"/>
      <c r="E11" s="153">
        <f t="shared" si="1"/>
        <v>738</v>
      </c>
    </row>
    <row r="12">
      <c r="A12" s="154">
        <v>44960.0</v>
      </c>
      <c r="B12" s="155" t="s">
        <v>200</v>
      </c>
      <c r="C12" s="156"/>
      <c r="D12" s="155">
        <v>72.0</v>
      </c>
      <c r="E12" s="156">
        <f t="shared" si="1"/>
        <v>666</v>
      </c>
    </row>
    <row r="13">
      <c r="A13" s="151">
        <v>44986.0</v>
      </c>
      <c r="B13" s="152" t="s">
        <v>201</v>
      </c>
      <c r="C13" s="153"/>
      <c r="D13" s="152">
        <v>144.0</v>
      </c>
      <c r="E13" s="153">
        <f t="shared" si="1"/>
        <v>522</v>
      </c>
    </row>
    <row r="14">
      <c r="A14" s="151">
        <v>45006.0</v>
      </c>
      <c r="B14" s="152" t="s">
        <v>202</v>
      </c>
      <c r="C14" s="153"/>
      <c r="D14" s="152">
        <v>72.0</v>
      </c>
      <c r="E14" s="153">
        <f t="shared" si="1"/>
        <v>450</v>
      </c>
    </row>
    <row r="15">
      <c r="A15" s="151">
        <v>45024.0</v>
      </c>
      <c r="B15" s="159" t="s">
        <v>203</v>
      </c>
      <c r="C15" s="153"/>
      <c r="D15" s="152">
        <v>36.0</v>
      </c>
      <c r="E15" s="153">
        <f t="shared" si="1"/>
        <v>414</v>
      </c>
    </row>
    <row r="16">
      <c r="A16" s="151">
        <v>45054.0</v>
      </c>
      <c r="B16" s="152" t="s">
        <v>200</v>
      </c>
      <c r="C16" s="153"/>
      <c r="D16" s="152">
        <v>216.0</v>
      </c>
      <c r="E16" s="153">
        <f t="shared" si="1"/>
        <v>198</v>
      </c>
    </row>
    <row r="17">
      <c r="A17" s="151">
        <v>45059.0</v>
      </c>
      <c r="B17" s="159" t="s">
        <v>205</v>
      </c>
      <c r="C17" s="153"/>
      <c r="D17" s="152">
        <v>72.0</v>
      </c>
      <c r="E17" s="153">
        <f t="shared" si="1"/>
        <v>126</v>
      </c>
    </row>
    <row r="18">
      <c r="A18" s="151">
        <v>45073.0</v>
      </c>
      <c r="B18" s="159" t="s">
        <v>204</v>
      </c>
      <c r="C18" s="153">
        <v>144.0</v>
      </c>
      <c r="D18" s="152"/>
      <c r="E18" s="153">
        <f t="shared" si="1"/>
        <v>270</v>
      </c>
    </row>
    <row r="19">
      <c r="A19" s="151">
        <v>45094.0</v>
      </c>
      <c r="B19" s="159" t="s">
        <v>207</v>
      </c>
      <c r="C19" s="153"/>
      <c r="D19" s="152">
        <v>72.0</v>
      </c>
      <c r="E19" s="153">
        <f t="shared" si="1"/>
        <v>198</v>
      </c>
    </row>
    <row r="20">
      <c r="A20" s="151">
        <v>45101.0</v>
      </c>
      <c r="B20" s="159" t="s">
        <v>201</v>
      </c>
      <c r="C20" s="153"/>
      <c r="D20" s="152">
        <v>144.0</v>
      </c>
      <c r="E20" s="153">
        <f t="shared" si="1"/>
        <v>54</v>
      </c>
    </row>
    <row r="21" ht="15.75" customHeight="1">
      <c r="A21" s="151">
        <v>45113.0</v>
      </c>
      <c r="B21" s="159" t="s">
        <v>193</v>
      </c>
      <c r="C21" s="153"/>
      <c r="D21" s="152">
        <v>54.0</v>
      </c>
      <c r="E21" s="153">
        <f t="shared" si="1"/>
        <v>0</v>
      </c>
    </row>
    <row r="22" ht="15.75" customHeight="1">
      <c r="A22" s="151"/>
      <c r="B22" s="152"/>
      <c r="C22" s="157"/>
      <c r="D22" s="158"/>
      <c r="E22" s="153">
        <f t="shared" si="1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39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447.0</v>
      </c>
    </row>
    <row r="5">
      <c r="A5" s="151">
        <v>44930.0</v>
      </c>
      <c r="B5" s="152" t="s">
        <v>192</v>
      </c>
      <c r="C5" s="157"/>
      <c r="D5" s="158">
        <v>72.0</v>
      </c>
      <c r="E5" s="157">
        <f t="shared" ref="E5:E34" si="1">E4-D5+C5</f>
        <v>375</v>
      </c>
    </row>
    <row r="6">
      <c r="A6" s="151">
        <v>44931.0</v>
      </c>
      <c r="B6" s="152" t="s">
        <v>199</v>
      </c>
      <c r="C6" s="157"/>
      <c r="D6" s="158">
        <v>72.0</v>
      </c>
      <c r="E6" s="157">
        <f t="shared" si="1"/>
        <v>303</v>
      </c>
    </row>
    <row r="7">
      <c r="A7" s="151">
        <v>44933.0</v>
      </c>
      <c r="B7" s="158" t="s">
        <v>200</v>
      </c>
      <c r="C7" s="157"/>
      <c r="D7" s="158">
        <v>72.0</v>
      </c>
      <c r="E7" s="157">
        <f t="shared" si="1"/>
        <v>231</v>
      </c>
    </row>
    <row r="8">
      <c r="A8" s="151">
        <v>44939.0</v>
      </c>
      <c r="B8" s="158" t="s">
        <v>197</v>
      </c>
      <c r="C8" s="157"/>
      <c r="D8" s="158">
        <v>24.0</v>
      </c>
      <c r="E8" s="157">
        <f t="shared" si="1"/>
        <v>207</v>
      </c>
    </row>
    <row r="9">
      <c r="A9" s="151">
        <v>44940.0</v>
      </c>
      <c r="B9" s="152" t="s">
        <v>193</v>
      </c>
      <c r="C9" s="157"/>
      <c r="D9" s="158">
        <v>72.0</v>
      </c>
      <c r="E9" s="157">
        <f t="shared" si="1"/>
        <v>135</v>
      </c>
    </row>
    <row r="10">
      <c r="A10" s="151">
        <v>44942.0</v>
      </c>
      <c r="B10" s="152" t="s">
        <v>194</v>
      </c>
      <c r="C10" s="157"/>
      <c r="D10" s="158">
        <v>72.0</v>
      </c>
      <c r="E10" s="157">
        <f t="shared" si="1"/>
        <v>63</v>
      </c>
    </row>
    <row r="11">
      <c r="A11" s="151">
        <v>44943.0</v>
      </c>
      <c r="B11" s="158" t="s">
        <v>204</v>
      </c>
      <c r="C11" s="157">
        <v>71.0</v>
      </c>
      <c r="D11" s="158"/>
      <c r="E11" s="157">
        <f t="shared" si="1"/>
        <v>134</v>
      </c>
    </row>
    <row r="12">
      <c r="A12" s="151">
        <v>44943.0</v>
      </c>
      <c r="B12" s="152" t="s">
        <v>206</v>
      </c>
      <c r="C12" s="157"/>
      <c r="D12" s="158">
        <v>11.0</v>
      </c>
      <c r="E12" s="157">
        <f t="shared" si="1"/>
        <v>123</v>
      </c>
    </row>
    <row r="13">
      <c r="A13" s="151">
        <v>44953.0</v>
      </c>
      <c r="B13" s="158" t="s">
        <v>204</v>
      </c>
      <c r="C13" s="157">
        <v>720.0</v>
      </c>
      <c r="D13" s="158"/>
      <c r="E13" s="157">
        <f t="shared" si="1"/>
        <v>843</v>
      </c>
    </row>
    <row r="14">
      <c r="A14" s="154">
        <v>44953.0</v>
      </c>
      <c r="B14" s="160" t="s">
        <v>202</v>
      </c>
      <c r="C14" s="156"/>
      <c r="D14" s="155">
        <v>144.0</v>
      </c>
      <c r="E14" s="156">
        <f t="shared" si="1"/>
        <v>699</v>
      </c>
    </row>
    <row r="15">
      <c r="A15" s="151">
        <v>44978.0</v>
      </c>
      <c r="B15" s="158" t="s">
        <v>208</v>
      </c>
      <c r="C15" s="157"/>
      <c r="D15" s="158">
        <v>72.0</v>
      </c>
      <c r="E15" s="153">
        <f t="shared" si="1"/>
        <v>627</v>
      </c>
    </row>
    <row r="16">
      <c r="A16" s="151">
        <v>44982.0</v>
      </c>
      <c r="B16" s="158" t="s">
        <v>208</v>
      </c>
      <c r="C16" s="157"/>
      <c r="D16" s="158">
        <v>72.0</v>
      </c>
      <c r="E16" s="153">
        <f t="shared" si="1"/>
        <v>555</v>
      </c>
    </row>
    <row r="17">
      <c r="A17" s="151">
        <v>44984.0</v>
      </c>
      <c r="B17" s="158" t="s">
        <v>208</v>
      </c>
      <c r="C17" s="157"/>
      <c r="D17" s="158">
        <v>72.0</v>
      </c>
      <c r="E17" s="153">
        <f t="shared" si="1"/>
        <v>483</v>
      </c>
    </row>
    <row r="18">
      <c r="A18" s="151">
        <v>44985.0</v>
      </c>
      <c r="B18" s="158" t="s">
        <v>209</v>
      </c>
      <c r="C18" s="157"/>
      <c r="D18" s="158">
        <v>72.0</v>
      </c>
      <c r="E18" s="153">
        <f t="shared" si="1"/>
        <v>411</v>
      </c>
    </row>
    <row r="19">
      <c r="A19" s="151">
        <v>44986.0</v>
      </c>
      <c r="B19" s="152" t="s">
        <v>201</v>
      </c>
      <c r="C19" s="157"/>
      <c r="D19" s="158">
        <v>144.0</v>
      </c>
      <c r="E19" s="153">
        <f t="shared" si="1"/>
        <v>267</v>
      </c>
    </row>
    <row r="20">
      <c r="A20" s="151">
        <v>44987.0</v>
      </c>
      <c r="B20" s="158" t="s">
        <v>204</v>
      </c>
      <c r="C20" s="157">
        <v>720.0</v>
      </c>
      <c r="D20" s="158"/>
      <c r="E20" s="153">
        <f t="shared" si="1"/>
        <v>987</v>
      </c>
    </row>
    <row r="21" ht="15.75" customHeight="1">
      <c r="A21" s="151">
        <v>45002.0</v>
      </c>
      <c r="B21" s="158" t="s">
        <v>210</v>
      </c>
      <c r="C21" s="157"/>
      <c r="D21" s="158">
        <v>144.0</v>
      </c>
      <c r="E21" s="153">
        <f t="shared" si="1"/>
        <v>843</v>
      </c>
    </row>
    <row r="22" ht="15.75" customHeight="1">
      <c r="A22" s="151">
        <v>45002.0</v>
      </c>
      <c r="B22" s="158" t="s">
        <v>211</v>
      </c>
      <c r="C22" s="157"/>
      <c r="D22" s="158">
        <v>144.0</v>
      </c>
      <c r="E22" s="153">
        <f t="shared" si="1"/>
        <v>699</v>
      </c>
    </row>
    <row r="23" ht="15.75" customHeight="1">
      <c r="A23" s="151">
        <v>45006.0</v>
      </c>
      <c r="B23" s="152" t="s">
        <v>202</v>
      </c>
      <c r="C23" s="157"/>
      <c r="D23" s="158">
        <v>72.0</v>
      </c>
      <c r="E23" s="153">
        <f t="shared" si="1"/>
        <v>627</v>
      </c>
    </row>
    <row r="24" ht="15.75" customHeight="1">
      <c r="A24" s="151">
        <v>45026.0</v>
      </c>
      <c r="B24" s="152" t="s">
        <v>192</v>
      </c>
      <c r="C24" s="157"/>
      <c r="D24" s="158">
        <v>72.0</v>
      </c>
      <c r="E24" s="153">
        <f t="shared" si="1"/>
        <v>555</v>
      </c>
    </row>
    <row r="25" ht="15.75" customHeight="1">
      <c r="A25" s="151">
        <v>45047.0</v>
      </c>
      <c r="B25" s="158" t="s">
        <v>209</v>
      </c>
      <c r="C25" s="157"/>
      <c r="D25" s="158">
        <v>144.0</v>
      </c>
      <c r="E25" s="153">
        <f t="shared" si="1"/>
        <v>411</v>
      </c>
    </row>
    <row r="26" ht="15.75" customHeight="1">
      <c r="A26" s="151">
        <v>45054.0</v>
      </c>
      <c r="B26" s="152" t="s">
        <v>200</v>
      </c>
      <c r="C26" s="157"/>
      <c r="D26" s="158">
        <v>240.0</v>
      </c>
      <c r="E26" s="153">
        <f t="shared" si="1"/>
        <v>171</v>
      </c>
    </row>
    <row r="27" ht="15.75" customHeight="1">
      <c r="A27" s="151">
        <v>45073.0</v>
      </c>
      <c r="B27" s="152" t="s">
        <v>204</v>
      </c>
      <c r="C27" s="157">
        <v>144.0</v>
      </c>
      <c r="D27" s="158"/>
      <c r="E27" s="153">
        <f t="shared" si="1"/>
        <v>315</v>
      </c>
    </row>
    <row r="28" ht="15.75" customHeight="1">
      <c r="A28" s="151">
        <v>45101.0</v>
      </c>
      <c r="B28" s="159" t="s">
        <v>201</v>
      </c>
      <c r="C28" s="157"/>
      <c r="D28" s="158">
        <v>144.0</v>
      </c>
      <c r="E28" s="153">
        <f t="shared" si="1"/>
        <v>171</v>
      </c>
    </row>
    <row r="29" ht="15.75" customHeight="1">
      <c r="A29" s="151">
        <v>45117.0</v>
      </c>
      <c r="B29" s="159" t="s">
        <v>201</v>
      </c>
      <c r="C29" s="157"/>
      <c r="D29" s="158">
        <v>144.0</v>
      </c>
      <c r="E29" s="153">
        <f t="shared" si="1"/>
        <v>27</v>
      </c>
    </row>
    <row r="30" ht="15.75" customHeight="1">
      <c r="A30" s="151"/>
      <c r="B30" s="152"/>
      <c r="C30" s="157"/>
      <c r="D30" s="161">
        <v>27.0</v>
      </c>
      <c r="E30" s="153">
        <f t="shared" si="1"/>
        <v>0</v>
      </c>
    </row>
    <row r="31" ht="15.75" customHeight="1">
      <c r="A31" s="151"/>
      <c r="B31" s="152"/>
      <c r="C31" s="157"/>
      <c r="D31" s="158"/>
      <c r="E31" s="153">
        <f t="shared" si="1"/>
        <v>0</v>
      </c>
    </row>
    <row r="32" ht="15.75" customHeight="1">
      <c r="A32" s="151"/>
      <c r="B32" s="152"/>
      <c r="C32" s="157"/>
      <c r="D32" s="158"/>
      <c r="E32" s="153">
        <f t="shared" si="1"/>
        <v>0</v>
      </c>
    </row>
    <row r="33" ht="15.75" customHeight="1">
      <c r="A33" s="151"/>
      <c r="B33" s="152"/>
      <c r="C33" s="157"/>
      <c r="D33" s="158"/>
      <c r="E33" s="153">
        <f t="shared" si="1"/>
        <v>0</v>
      </c>
    </row>
    <row r="34" ht="15.75" customHeight="1">
      <c r="A34" s="151"/>
      <c r="B34" s="158"/>
      <c r="C34" s="157"/>
      <c r="D34" s="158"/>
      <c r="E34" s="153">
        <f t="shared" si="1"/>
        <v>0</v>
      </c>
    </row>
    <row r="35" ht="15.75" customHeight="1">
      <c r="E35" s="16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41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56.0</v>
      </c>
    </row>
    <row r="5">
      <c r="A5" s="151">
        <v>44937.0</v>
      </c>
      <c r="B5" s="152" t="s">
        <v>197</v>
      </c>
      <c r="C5" s="153"/>
      <c r="D5" s="152">
        <v>24.0</v>
      </c>
      <c r="E5" s="153">
        <f t="shared" ref="E5:E27" si="1">E4-D5+C5</f>
        <v>32</v>
      </c>
    </row>
    <row r="6">
      <c r="A6" s="151">
        <v>44938.0</v>
      </c>
      <c r="B6" s="152" t="s">
        <v>212</v>
      </c>
      <c r="C6" s="153">
        <v>48.0</v>
      </c>
      <c r="D6" s="152"/>
      <c r="E6" s="153">
        <f t="shared" si="1"/>
        <v>80</v>
      </c>
    </row>
    <row r="7">
      <c r="A7" s="151">
        <v>44938.0</v>
      </c>
      <c r="B7" s="152" t="s">
        <v>197</v>
      </c>
      <c r="C7" s="153"/>
      <c r="D7" s="152">
        <v>48.0</v>
      </c>
      <c r="E7" s="153">
        <f t="shared" si="1"/>
        <v>32</v>
      </c>
    </row>
    <row r="8">
      <c r="A8" s="151">
        <v>44940.0</v>
      </c>
      <c r="B8" s="152" t="s">
        <v>212</v>
      </c>
      <c r="C8" s="153">
        <v>48.0</v>
      </c>
      <c r="D8" s="152"/>
      <c r="E8" s="153">
        <f t="shared" si="1"/>
        <v>80</v>
      </c>
    </row>
    <row r="9">
      <c r="A9" s="151">
        <v>44942.0</v>
      </c>
      <c r="B9" s="152" t="s">
        <v>194</v>
      </c>
      <c r="C9" s="153"/>
      <c r="D9" s="152">
        <v>24.0</v>
      </c>
      <c r="E9" s="153">
        <f t="shared" si="1"/>
        <v>56</v>
      </c>
    </row>
    <row r="10">
      <c r="A10" s="151">
        <v>44943.0</v>
      </c>
      <c r="B10" s="152" t="s">
        <v>206</v>
      </c>
      <c r="C10" s="153"/>
      <c r="D10" s="152">
        <v>1.0</v>
      </c>
      <c r="E10" s="153">
        <f t="shared" si="1"/>
        <v>55</v>
      </c>
    </row>
    <row r="11">
      <c r="A11" s="151">
        <v>44581.0</v>
      </c>
      <c r="B11" s="152" t="s">
        <v>200</v>
      </c>
      <c r="C11" s="153"/>
      <c r="D11" s="152">
        <v>1.0</v>
      </c>
      <c r="E11" s="153">
        <f t="shared" si="1"/>
        <v>54</v>
      </c>
    </row>
    <row r="12">
      <c r="A12" s="151">
        <v>44599.0</v>
      </c>
      <c r="B12" s="152" t="s">
        <v>212</v>
      </c>
      <c r="C12" s="153">
        <v>336.0</v>
      </c>
      <c r="D12" s="152"/>
      <c r="E12" s="153">
        <f t="shared" si="1"/>
        <v>390</v>
      </c>
    </row>
    <row r="13">
      <c r="A13" s="151">
        <v>44599.0</v>
      </c>
      <c r="B13" s="152" t="s">
        <v>208</v>
      </c>
      <c r="C13" s="153"/>
      <c r="D13" s="152">
        <v>48.0</v>
      </c>
      <c r="E13" s="153">
        <f t="shared" si="1"/>
        <v>342</v>
      </c>
    </row>
    <row r="14">
      <c r="A14" s="151">
        <v>44599.0</v>
      </c>
      <c r="B14" s="152" t="s">
        <v>213</v>
      </c>
      <c r="C14" s="153"/>
      <c r="D14" s="152">
        <v>48.0</v>
      </c>
      <c r="E14" s="153">
        <f t="shared" si="1"/>
        <v>294</v>
      </c>
    </row>
    <row r="15">
      <c r="A15" s="151">
        <v>44968.0</v>
      </c>
      <c r="B15" s="158" t="s">
        <v>196</v>
      </c>
      <c r="C15" s="153"/>
      <c r="D15" s="152">
        <v>48.0</v>
      </c>
      <c r="E15" s="153">
        <f t="shared" si="1"/>
        <v>246</v>
      </c>
    </row>
    <row r="16">
      <c r="A16" s="151">
        <v>45005.0</v>
      </c>
      <c r="B16" s="159" t="s">
        <v>203</v>
      </c>
      <c r="C16" s="153"/>
      <c r="D16" s="152">
        <v>48.0</v>
      </c>
      <c r="E16" s="153">
        <f t="shared" si="1"/>
        <v>198</v>
      </c>
    </row>
    <row r="17">
      <c r="A17" s="151">
        <v>45024.0</v>
      </c>
      <c r="B17" s="159" t="s">
        <v>203</v>
      </c>
      <c r="C17" s="153"/>
      <c r="D17" s="152">
        <v>48.0</v>
      </c>
      <c r="E17" s="153">
        <f t="shared" si="1"/>
        <v>150</v>
      </c>
    </row>
    <row r="18">
      <c r="A18" s="151">
        <v>45035.0</v>
      </c>
      <c r="B18" s="159" t="s">
        <v>214</v>
      </c>
      <c r="C18" s="153"/>
      <c r="D18" s="152">
        <v>24.0</v>
      </c>
      <c r="E18" s="153">
        <f t="shared" si="1"/>
        <v>126</v>
      </c>
    </row>
    <row r="19">
      <c r="A19" s="151">
        <v>45047.0</v>
      </c>
      <c r="B19" s="158" t="s">
        <v>209</v>
      </c>
      <c r="C19" s="153"/>
      <c r="D19" s="152">
        <v>48.0</v>
      </c>
      <c r="E19" s="153">
        <f t="shared" si="1"/>
        <v>78</v>
      </c>
    </row>
    <row r="20">
      <c r="A20" s="151">
        <v>45059.0</v>
      </c>
      <c r="B20" s="159" t="s">
        <v>205</v>
      </c>
      <c r="C20" s="153"/>
      <c r="D20" s="152">
        <v>48.0</v>
      </c>
      <c r="E20" s="153">
        <f t="shared" si="1"/>
        <v>30</v>
      </c>
    </row>
    <row r="21" ht="15.75" customHeight="1">
      <c r="A21" s="151">
        <v>45065.0</v>
      </c>
      <c r="B21" s="158" t="s">
        <v>196</v>
      </c>
      <c r="C21" s="153"/>
      <c r="D21" s="152">
        <v>30.0</v>
      </c>
      <c r="E21" s="153">
        <f t="shared" si="1"/>
        <v>0</v>
      </c>
    </row>
    <row r="22" ht="15.75" customHeight="1">
      <c r="A22" s="151"/>
      <c r="B22" s="152"/>
      <c r="C22" s="153"/>
      <c r="D22" s="152"/>
      <c r="E22" s="153">
        <f t="shared" si="1"/>
        <v>0</v>
      </c>
    </row>
    <row r="23" ht="15.75" customHeight="1">
      <c r="A23" s="151"/>
      <c r="B23" s="152"/>
      <c r="C23" s="153"/>
      <c r="D23" s="152"/>
      <c r="E23" s="153">
        <f t="shared" si="1"/>
        <v>0</v>
      </c>
    </row>
    <row r="24" ht="15.75" customHeight="1">
      <c r="A24" s="151"/>
      <c r="B24" s="152"/>
      <c r="C24" s="153"/>
      <c r="D24" s="152"/>
      <c r="E24" s="153">
        <f t="shared" si="1"/>
        <v>0</v>
      </c>
    </row>
    <row r="25" ht="15.75" customHeight="1">
      <c r="A25" s="151"/>
      <c r="B25" s="152"/>
      <c r="C25" s="153"/>
      <c r="D25" s="152"/>
      <c r="E25" s="153">
        <f t="shared" si="1"/>
        <v>0</v>
      </c>
    </row>
    <row r="26" ht="15.75" customHeight="1">
      <c r="A26" s="151"/>
      <c r="B26" s="152"/>
      <c r="C26" s="153"/>
      <c r="D26" s="152"/>
      <c r="E26" s="153">
        <f t="shared" si="1"/>
        <v>0</v>
      </c>
    </row>
    <row r="27" ht="15.75" customHeight="1">
      <c r="A27" s="151"/>
      <c r="B27" s="158"/>
      <c r="C27" s="157"/>
      <c r="D27" s="158"/>
      <c r="E27" s="153">
        <f t="shared" si="1"/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42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157.0</v>
      </c>
    </row>
    <row r="5">
      <c r="A5" s="151">
        <v>44943.0</v>
      </c>
      <c r="B5" s="152" t="s">
        <v>212</v>
      </c>
      <c r="C5" s="153">
        <v>216.0</v>
      </c>
      <c r="D5" s="152"/>
      <c r="E5" s="153">
        <f t="shared" ref="E5:E13" si="1">E4-D5+C5</f>
        <v>373</v>
      </c>
    </row>
    <row r="6">
      <c r="A6" s="151">
        <v>45024.0</v>
      </c>
      <c r="B6" s="159" t="s">
        <v>203</v>
      </c>
      <c r="C6" s="153"/>
      <c r="D6" s="152">
        <v>36.0</v>
      </c>
      <c r="E6" s="153">
        <f t="shared" si="1"/>
        <v>337</v>
      </c>
    </row>
    <row r="7">
      <c r="A7" s="151">
        <v>45059.0</v>
      </c>
      <c r="B7" s="159" t="s">
        <v>205</v>
      </c>
      <c r="C7" s="153"/>
      <c r="D7" s="152">
        <v>72.0</v>
      </c>
      <c r="E7" s="153">
        <f t="shared" si="1"/>
        <v>265</v>
      </c>
    </row>
    <row r="8">
      <c r="A8" s="151"/>
      <c r="B8" s="158"/>
      <c r="C8" s="153"/>
      <c r="D8" s="163">
        <v>265.0</v>
      </c>
      <c r="E8" s="153">
        <f t="shared" si="1"/>
        <v>0</v>
      </c>
    </row>
    <row r="9">
      <c r="A9" s="151"/>
      <c r="B9" s="152"/>
      <c r="C9" s="153"/>
      <c r="D9" s="152"/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8"/>
      <c r="C13" s="157"/>
      <c r="D13" s="158"/>
      <c r="E13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43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313.0</v>
      </c>
    </row>
    <row r="5">
      <c r="A5" s="151">
        <v>44939.0</v>
      </c>
      <c r="B5" s="158" t="s">
        <v>197</v>
      </c>
      <c r="C5" s="153"/>
      <c r="D5" s="152">
        <v>24.0</v>
      </c>
      <c r="E5" s="153">
        <f t="shared" ref="E5:E14" si="1">E4-D5+C5</f>
        <v>289</v>
      </c>
    </row>
    <row r="6">
      <c r="A6" s="151">
        <v>44943.0</v>
      </c>
      <c r="B6" s="152" t="s">
        <v>206</v>
      </c>
      <c r="C6" s="153"/>
      <c r="D6" s="152">
        <v>2.0</v>
      </c>
      <c r="E6" s="153">
        <f t="shared" si="1"/>
        <v>287</v>
      </c>
    </row>
    <row r="7">
      <c r="A7" s="151">
        <v>44968.0</v>
      </c>
      <c r="B7" s="152" t="s">
        <v>215</v>
      </c>
      <c r="C7" s="153"/>
      <c r="D7" s="152">
        <v>72.0</v>
      </c>
      <c r="E7" s="153">
        <f t="shared" si="1"/>
        <v>215</v>
      </c>
    </row>
    <row r="8">
      <c r="A8" s="151">
        <v>44968.0</v>
      </c>
      <c r="B8" s="152" t="s">
        <v>212</v>
      </c>
      <c r="C8" s="153">
        <v>720.0</v>
      </c>
      <c r="D8" s="152"/>
      <c r="E8" s="153">
        <f t="shared" si="1"/>
        <v>935</v>
      </c>
    </row>
    <row r="9">
      <c r="A9" s="151"/>
      <c r="B9" s="152"/>
      <c r="C9" s="153"/>
      <c r="D9" s="163">
        <v>935.0</v>
      </c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8"/>
      <c r="C14" s="157"/>
      <c r="D14" s="158"/>
      <c r="E14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216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200.0</v>
      </c>
    </row>
    <row r="5">
      <c r="A5" s="151">
        <v>44943.0</v>
      </c>
      <c r="B5" s="152" t="s">
        <v>206</v>
      </c>
      <c r="C5" s="153"/>
      <c r="D5" s="152">
        <v>1.0</v>
      </c>
      <c r="E5" s="153">
        <f t="shared" ref="E5:E8" si="1">E4-D5+C5</f>
        <v>199</v>
      </c>
    </row>
    <row r="6">
      <c r="A6" s="151">
        <v>45059.0</v>
      </c>
      <c r="B6" s="159" t="s">
        <v>205</v>
      </c>
      <c r="C6" s="153"/>
      <c r="D6" s="152">
        <v>48.0</v>
      </c>
      <c r="E6" s="153">
        <f t="shared" si="1"/>
        <v>151</v>
      </c>
    </row>
    <row r="7">
      <c r="A7" s="151">
        <v>45077.0</v>
      </c>
      <c r="B7" s="152" t="s">
        <v>217</v>
      </c>
      <c r="C7" s="153"/>
      <c r="D7" s="152">
        <v>4.0</v>
      </c>
      <c r="E7" s="153">
        <f t="shared" si="1"/>
        <v>147</v>
      </c>
    </row>
    <row r="8">
      <c r="A8" s="151"/>
      <c r="B8" s="158"/>
      <c r="C8" s="157"/>
      <c r="D8" s="161">
        <v>147.0</v>
      </c>
      <c r="E8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45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182.0</v>
      </c>
    </row>
    <row r="5">
      <c r="A5" s="151">
        <v>44943.0</v>
      </c>
      <c r="B5" s="152" t="s">
        <v>212</v>
      </c>
      <c r="C5" s="153">
        <v>60.0</v>
      </c>
      <c r="D5" s="152"/>
      <c r="E5" s="153">
        <f t="shared" ref="E5:E11" si="1">E4-D5+C5</f>
        <v>242</v>
      </c>
    </row>
    <row r="6">
      <c r="A6" s="151">
        <v>44943.0</v>
      </c>
      <c r="B6" s="152" t="s">
        <v>206</v>
      </c>
      <c r="C6" s="153"/>
      <c r="D6" s="152">
        <v>7.0</v>
      </c>
      <c r="E6" s="153">
        <f t="shared" si="1"/>
        <v>235</v>
      </c>
    </row>
    <row r="7">
      <c r="A7" s="151">
        <v>45059.0</v>
      </c>
      <c r="B7" s="152" t="s">
        <v>218</v>
      </c>
      <c r="C7" s="153"/>
      <c r="D7" s="152">
        <v>168.0</v>
      </c>
      <c r="E7" s="153">
        <f t="shared" si="1"/>
        <v>67</v>
      </c>
    </row>
    <row r="8">
      <c r="A8" s="151"/>
      <c r="B8" s="152"/>
      <c r="C8" s="153"/>
      <c r="D8" s="163">
        <v>67.0</v>
      </c>
      <c r="E8" s="153">
        <f t="shared" si="1"/>
        <v>0</v>
      </c>
    </row>
    <row r="9">
      <c r="A9" s="151"/>
      <c r="B9" s="152"/>
      <c r="C9" s="153"/>
      <c r="D9" s="152"/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8"/>
      <c r="C11" s="157"/>
      <c r="D11" s="158"/>
      <c r="E11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46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98.0</v>
      </c>
    </row>
    <row r="5">
      <c r="A5" s="151">
        <v>44932.0</v>
      </c>
      <c r="B5" s="152" t="s">
        <v>219</v>
      </c>
      <c r="C5" s="153"/>
      <c r="D5" s="152">
        <v>62.0</v>
      </c>
      <c r="E5" s="153">
        <f t="shared" ref="E5:E8" si="1">E4-D5+C5</f>
        <v>36</v>
      </c>
    </row>
    <row r="6">
      <c r="A6" s="151">
        <v>44932.0</v>
      </c>
      <c r="B6" s="152" t="s">
        <v>220</v>
      </c>
      <c r="C6" s="153"/>
      <c r="D6" s="152">
        <v>6.0</v>
      </c>
      <c r="E6" s="153">
        <f t="shared" si="1"/>
        <v>30</v>
      </c>
    </row>
    <row r="7">
      <c r="A7" s="151">
        <v>45097.0</v>
      </c>
      <c r="B7" s="152" t="s">
        <v>201</v>
      </c>
      <c r="C7" s="153"/>
      <c r="D7" s="152">
        <v>30.0</v>
      </c>
      <c r="E7" s="153">
        <f t="shared" si="1"/>
        <v>0</v>
      </c>
    </row>
    <row r="8">
      <c r="A8" s="151"/>
      <c r="B8" s="158"/>
      <c r="C8" s="157"/>
      <c r="D8" s="158"/>
      <c r="E8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47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91.0</v>
      </c>
    </row>
    <row r="5">
      <c r="A5" s="151">
        <v>44932.0</v>
      </c>
      <c r="B5" s="152" t="s">
        <v>219</v>
      </c>
      <c r="C5" s="153"/>
      <c r="D5" s="152">
        <v>72.0</v>
      </c>
      <c r="E5" s="153">
        <f t="shared" ref="E5:E15" si="1">E4-D5+C5</f>
        <v>19</v>
      </c>
    </row>
    <row r="6">
      <c r="A6" s="151">
        <v>44932.0</v>
      </c>
      <c r="B6" s="152" t="s">
        <v>220</v>
      </c>
      <c r="C6" s="153"/>
      <c r="D6" s="152">
        <v>1.0</v>
      </c>
      <c r="E6" s="153">
        <f t="shared" si="1"/>
        <v>18</v>
      </c>
    </row>
    <row r="7">
      <c r="A7" s="151">
        <v>45097.0</v>
      </c>
      <c r="B7" s="152" t="s">
        <v>201</v>
      </c>
      <c r="C7" s="153"/>
      <c r="D7" s="152">
        <v>18.0</v>
      </c>
      <c r="E7" s="153">
        <f t="shared" si="1"/>
        <v>0</v>
      </c>
    </row>
    <row r="8">
      <c r="A8" s="151"/>
      <c r="B8" s="152"/>
      <c r="C8" s="153"/>
      <c r="D8" s="152"/>
      <c r="E8" s="153">
        <f t="shared" si="1"/>
        <v>0</v>
      </c>
    </row>
    <row r="9">
      <c r="A9" s="151"/>
      <c r="B9" s="152"/>
      <c r="C9" s="153"/>
      <c r="D9" s="152"/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2"/>
      <c r="C14" s="153"/>
      <c r="D14" s="152"/>
      <c r="E14" s="153">
        <f t="shared" si="1"/>
        <v>0</v>
      </c>
    </row>
    <row r="15">
      <c r="A15" s="151"/>
      <c r="B15" s="158"/>
      <c r="C15" s="157"/>
      <c r="D15" s="158"/>
      <c r="E15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221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7">
        <v>214.0</v>
      </c>
    </row>
    <row r="5">
      <c r="A5" s="151">
        <v>44943.0</v>
      </c>
      <c r="B5" s="152" t="s">
        <v>206</v>
      </c>
      <c r="C5" s="153"/>
      <c r="D5" s="152">
        <v>4.0</v>
      </c>
      <c r="E5" s="157">
        <f t="shared" ref="E5:E10" si="1">E4-D5+C5</f>
        <v>210</v>
      </c>
    </row>
    <row r="6">
      <c r="A6" s="151">
        <v>44972.0</v>
      </c>
      <c r="B6" s="152" t="s">
        <v>192</v>
      </c>
      <c r="C6" s="153"/>
      <c r="D6" s="152">
        <v>72.0</v>
      </c>
      <c r="E6" s="157">
        <f t="shared" si="1"/>
        <v>138</v>
      </c>
    </row>
    <row r="7">
      <c r="A7" s="151">
        <v>45059.0</v>
      </c>
      <c r="B7" s="158" t="s">
        <v>222</v>
      </c>
      <c r="C7" s="153"/>
      <c r="D7" s="152">
        <v>130.0</v>
      </c>
      <c r="E7" s="157">
        <f t="shared" si="1"/>
        <v>8</v>
      </c>
    </row>
    <row r="8">
      <c r="A8" s="151">
        <v>45097.0</v>
      </c>
      <c r="B8" s="158" t="s">
        <v>223</v>
      </c>
      <c r="C8" s="153"/>
      <c r="D8" s="152">
        <v>8.0</v>
      </c>
      <c r="E8" s="157">
        <f t="shared" si="1"/>
        <v>0</v>
      </c>
    </row>
    <row r="9">
      <c r="A9" s="151"/>
      <c r="B9" s="158"/>
      <c r="C9" s="153"/>
      <c r="D9" s="152"/>
      <c r="E9" s="157">
        <f t="shared" si="1"/>
        <v>0</v>
      </c>
    </row>
    <row r="10">
      <c r="A10" s="151"/>
      <c r="B10" s="158"/>
      <c r="C10" s="157"/>
      <c r="D10" s="158"/>
      <c r="E10" s="15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224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102.0</v>
      </c>
    </row>
    <row r="5">
      <c r="A5" s="151">
        <v>44943.0</v>
      </c>
      <c r="B5" s="152" t="s">
        <v>206</v>
      </c>
      <c r="C5" s="153"/>
      <c r="D5" s="152">
        <v>8.0</v>
      </c>
      <c r="E5" s="153">
        <f t="shared" ref="E5:E7" si="1">E4-D5+C5</f>
        <v>94</v>
      </c>
    </row>
    <row r="6">
      <c r="A6" s="151">
        <v>44946.0</v>
      </c>
      <c r="B6" s="152" t="s">
        <v>200</v>
      </c>
      <c r="C6" s="153"/>
      <c r="D6" s="152">
        <v>1.0</v>
      </c>
      <c r="E6" s="153">
        <f t="shared" si="1"/>
        <v>93</v>
      </c>
    </row>
    <row r="7">
      <c r="A7" s="151"/>
      <c r="B7" s="158"/>
      <c r="C7" s="157"/>
      <c r="D7" s="161">
        <v>93.0</v>
      </c>
      <c r="E7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E97" s="164">
        <v>216.0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225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72.0</v>
      </c>
    </row>
    <row r="5">
      <c r="A5" s="151">
        <v>44879.0</v>
      </c>
      <c r="B5" s="152" t="s">
        <v>212</v>
      </c>
      <c r="C5" s="153">
        <v>144.0</v>
      </c>
      <c r="D5" s="152"/>
      <c r="E5" s="153">
        <f t="shared" ref="E5:E13" si="1">E4-D5+C5</f>
        <v>216</v>
      </c>
    </row>
    <row r="6">
      <c r="A6" s="151">
        <v>44943.0</v>
      </c>
      <c r="B6" s="152" t="s">
        <v>206</v>
      </c>
      <c r="C6" s="153"/>
      <c r="D6" s="152">
        <v>6.0</v>
      </c>
      <c r="E6" s="153">
        <f t="shared" si="1"/>
        <v>210</v>
      </c>
    </row>
    <row r="7">
      <c r="A7" s="151">
        <v>45059.0</v>
      </c>
      <c r="B7" s="152" t="s">
        <v>205</v>
      </c>
      <c r="C7" s="153"/>
      <c r="D7" s="152">
        <v>66.0</v>
      </c>
      <c r="E7" s="153">
        <f t="shared" si="1"/>
        <v>144</v>
      </c>
    </row>
    <row r="8">
      <c r="A8" s="151">
        <v>45059.0</v>
      </c>
      <c r="B8" s="158" t="s">
        <v>222</v>
      </c>
      <c r="C8" s="153"/>
      <c r="D8" s="152">
        <v>135.0</v>
      </c>
      <c r="E8" s="153">
        <f t="shared" si="1"/>
        <v>9</v>
      </c>
    </row>
    <row r="9">
      <c r="A9" s="151">
        <v>45097.0</v>
      </c>
      <c r="B9" s="158" t="s">
        <v>223</v>
      </c>
      <c r="C9" s="153"/>
      <c r="D9" s="152">
        <v>9.0</v>
      </c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8"/>
      <c r="C13" s="157"/>
      <c r="D13" s="158"/>
      <c r="E13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226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10.0</v>
      </c>
    </row>
    <row r="5">
      <c r="A5" s="151">
        <v>44943.0</v>
      </c>
      <c r="B5" s="152" t="s">
        <v>212</v>
      </c>
      <c r="C5" s="153">
        <v>192.0</v>
      </c>
      <c r="D5" s="152"/>
      <c r="E5" s="153">
        <f t="shared" ref="E5:E17" si="1">E4-D5+C5</f>
        <v>202</v>
      </c>
    </row>
    <row r="6">
      <c r="A6" s="151">
        <v>44943.0</v>
      </c>
      <c r="B6" s="152" t="s">
        <v>206</v>
      </c>
      <c r="C6" s="153"/>
      <c r="D6" s="152">
        <v>10.0</v>
      </c>
      <c r="E6" s="153">
        <f t="shared" si="1"/>
        <v>192</v>
      </c>
    </row>
    <row r="7">
      <c r="A7" s="151">
        <v>44964.0</v>
      </c>
      <c r="B7" s="152" t="s">
        <v>194</v>
      </c>
      <c r="C7" s="153"/>
      <c r="D7" s="152">
        <v>192.0</v>
      </c>
      <c r="E7" s="153">
        <f t="shared" si="1"/>
        <v>0</v>
      </c>
    </row>
    <row r="8">
      <c r="A8" s="151"/>
      <c r="B8" s="152"/>
      <c r="C8" s="153"/>
      <c r="D8" s="152"/>
      <c r="E8" s="153">
        <f t="shared" si="1"/>
        <v>0</v>
      </c>
    </row>
    <row r="9">
      <c r="A9" s="151"/>
      <c r="B9" s="152"/>
      <c r="C9" s="153"/>
      <c r="D9" s="152"/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2"/>
      <c r="C14" s="153"/>
      <c r="D14" s="152"/>
      <c r="E14" s="153">
        <f t="shared" si="1"/>
        <v>0</v>
      </c>
    </row>
    <row r="15">
      <c r="A15" s="151"/>
      <c r="B15" s="152"/>
      <c r="C15" s="153"/>
      <c r="D15" s="152"/>
      <c r="E15" s="153">
        <f t="shared" si="1"/>
        <v>0</v>
      </c>
    </row>
    <row r="16">
      <c r="A16" s="151"/>
      <c r="B16" s="152"/>
      <c r="C16" s="153"/>
      <c r="D16" s="152"/>
      <c r="E16" s="153">
        <f t="shared" si="1"/>
        <v>0</v>
      </c>
    </row>
    <row r="17">
      <c r="A17" s="151"/>
      <c r="B17" s="158"/>
      <c r="C17" s="157"/>
      <c r="D17" s="158"/>
      <c r="E17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8"/>
      <c r="C4" s="153"/>
      <c r="D4" s="152"/>
      <c r="E4" s="153">
        <v>64.0</v>
      </c>
    </row>
    <row r="5">
      <c r="A5" s="151">
        <v>44964.0</v>
      </c>
      <c r="B5" s="152" t="s">
        <v>212</v>
      </c>
      <c r="C5" s="153">
        <v>240.0</v>
      </c>
      <c r="D5" s="152"/>
      <c r="E5" s="153">
        <f t="shared" ref="E5:E12" si="1">E4-D5+C5</f>
        <v>304</v>
      </c>
    </row>
    <row r="6">
      <c r="A6" s="151">
        <v>44964.0</v>
      </c>
      <c r="B6" s="152" t="s">
        <v>229</v>
      </c>
      <c r="C6" s="153"/>
      <c r="D6" s="152">
        <v>144.0</v>
      </c>
      <c r="E6" s="153">
        <f t="shared" si="1"/>
        <v>160</v>
      </c>
    </row>
    <row r="7">
      <c r="A7" s="151">
        <v>44964.0</v>
      </c>
      <c r="B7" s="152" t="s">
        <v>230</v>
      </c>
      <c r="C7" s="153"/>
      <c r="D7" s="152">
        <v>48.0</v>
      </c>
      <c r="E7" s="153">
        <f t="shared" si="1"/>
        <v>112</v>
      </c>
    </row>
    <row r="8">
      <c r="A8" s="151">
        <v>44970.0</v>
      </c>
      <c r="B8" s="152" t="s">
        <v>197</v>
      </c>
      <c r="C8" s="153"/>
      <c r="D8" s="152">
        <v>96.0</v>
      </c>
      <c r="E8" s="153">
        <f t="shared" si="1"/>
        <v>16</v>
      </c>
    </row>
    <row r="9">
      <c r="A9" s="151">
        <v>45065.0</v>
      </c>
      <c r="B9" s="152" t="s">
        <v>200</v>
      </c>
      <c r="C9" s="153"/>
      <c r="D9" s="152">
        <v>14.0</v>
      </c>
      <c r="E9" s="153">
        <f t="shared" si="1"/>
        <v>2</v>
      </c>
    </row>
    <row r="10">
      <c r="A10" s="151">
        <v>45093.0</v>
      </c>
      <c r="B10" s="152" t="s">
        <v>200</v>
      </c>
      <c r="C10" s="153"/>
      <c r="D10" s="152">
        <v>2.0</v>
      </c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8"/>
      <c r="C12" s="157"/>
      <c r="D12" s="158"/>
      <c r="E12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228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64.0</v>
      </c>
    </row>
    <row r="5">
      <c r="A5" s="151">
        <v>44943.0</v>
      </c>
      <c r="B5" s="152" t="s">
        <v>206</v>
      </c>
      <c r="C5" s="153"/>
      <c r="D5" s="152">
        <v>6.0</v>
      </c>
      <c r="E5" s="153">
        <f t="shared" ref="E5:E13" si="1">E4-D5+C5</f>
        <v>58</v>
      </c>
    </row>
    <row r="6">
      <c r="A6" s="151">
        <v>44972.0</v>
      </c>
      <c r="B6" s="152" t="s">
        <v>231</v>
      </c>
      <c r="C6" s="153"/>
      <c r="D6" s="152">
        <v>48.0</v>
      </c>
      <c r="E6" s="153">
        <f t="shared" si="1"/>
        <v>10</v>
      </c>
    </row>
    <row r="7">
      <c r="A7" s="151">
        <v>44974.0</v>
      </c>
      <c r="B7" s="152" t="s">
        <v>232</v>
      </c>
      <c r="C7" s="153">
        <v>240.0</v>
      </c>
      <c r="D7" s="152"/>
      <c r="E7" s="153">
        <f t="shared" si="1"/>
        <v>250</v>
      </c>
    </row>
    <row r="8">
      <c r="A8" s="151">
        <v>44974.0</v>
      </c>
      <c r="B8" s="152" t="s">
        <v>233</v>
      </c>
      <c r="C8" s="153"/>
      <c r="D8" s="152">
        <v>48.0</v>
      </c>
      <c r="E8" s="153">
        <f t="shared" si="1"/>
        <v>202</v>
      </c>
    </row>
    <row r="9">
      <c r="A9" s="151">
        <v>44975.0</v>
      </c>
      <c r="B9" s="152" t="s">
        <v>199</v>
      </c>
      <c r="C9" s="153"/>
      <c r="D9" s="152">
        <v>48.0</v>
      </c>
      <c r="E9" s="153">
        <f t="shared" si="1"/>
        <v>154</v>
      </c>
    </row>
    <row r="10">
      <c r="A10" s="151">
        <v>44979.0</v>
      </c>
      <c r="B10" s="152" t="s">
        <v>234</v>
      </c>
      <c r="C10" s="153"/>
      <c r="D10" s="152">
        <v>48.0</v>
      </c>
      <c r="E10" s="153">
        <f t="shared" si="1"/>
        <v>106</v>
      </c>
    </row>
    <row r="11">
      <c r="A11" s="151">
        <v>44985.0</v>
      </c>
      <c r="B11" s="152" t="s">
        <v>235</v>
      </c>
      <c r="C11" s="153"/>
      <c r="D11" s="152">
        <v>96.0</v>
      </c>
      <c r="E11" s="153">
        <f t="shared" si="1"/>
        <v>10</v>
      </c>
    </row>
    <row r="12">
      <c r="A12" s="151">
        <v>45093.0</v>
      </c>
      <c r="B12" s="152" t="s">
        <v>200</v>
      </c>
      <c r="C12" s="153"/>
      <c r="D12" s="152">
        <v>10.0</v>
      </c>
      <c r="E12" s="153">
        <f t="shared" si="1"/>
        <v>0</v>
      </c>
    </row>
    <row r="13">
      <c r="A13" s="151"/>
      <c r="B13" s="158"/>
      <c r="C13" s="157"/>
      <c r="D13" s="158"/>
      <c r="E13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236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>
        <v>44870.0</v>
      </c>
      <c r="B4" s="155" t="s">
        <v>236</v>
      </c>
      <c r="C4" s="155">
        <v>80.0</v>
      </c>
      <c r="D4" s="165"/>
      <c r="E4" s="155">
        <f>C4</f>
        <v>80</v>
      </c>
    </row>
    <row r="5">
      <c r="A5" s="151">
        <v>44872.0</v>
      </c>
      <c r="B5" s="152" t="s">
        <v>238</v>
      </c>
      <c r="C5" s="153"/>
      <c r="D5" s="152">
        <v>20.0</v>
      </c>
      <c r="E5" s="153">
        <f t="shared" ref="E5:E30" si="1">E4-D5+C5</f>
        <v>60</v>
      </c>
    </row>
    <row r="6">
      <c r="A6" s="154">
        <v>44873.0</v>
      </c>
      <c r="B6" s="155" t="s">
        <v>239</v>
      </c>
      <c r="C6" s="156"/>
      <c r="D6" s="155">
        <v>20.0</v>
      </c>
      <c r="E6" s="156">
        <f t="shared" si="1"/>
        <v>40</v>
      </c>
    </row>
    <row r="7">
      <c r="A7" s="151">
        <v>44882.0</v>
      </c>
      <c r="B7" s="152" t="s">
        <v>239</v>
      </c>
      <c r="C7" s="153"/>
      <c r="D7" s="152">
        <v>25.0</v>
      </c>
      <c r="E7" s="153">
        <f t="shared" si="1"/>
        <v>15</v>
      </c>
    </row>
    <row r="8">
      <c r="A8" s="151">
        <v>44884.0</v>
      </c>
      <c r="B8" s="152" t="s">
        <v>212</v>
      </c>
      <c r="C8" s="153">
        <v>60.0</v>
      </c>
      <c r="D8" s="152"/>
      <c r="E8" s="153">
        <f t="shared" si="1"/>
        <v>75</v>
      </c>
    </row>
    <row r="9">
      <c r="A9" s="151">
        <v>44887.0</v>
      </c>
      <c r="B9" s="152" t="s">
        <v>238</v>
      </c>
      <c r="C9" s="153"/>
      <c r="D9" s="152">
        <v>20.0</v>
      </c>
      <c r="E9" s="153">
        <f t="shared" si="1"/>
        <v>55</v>
      </c>
    </row>
    <row r="10">
      <c r="A10" s="151">
        <v>44889.0</v>
      </c>
      <c r="B10" s="152" t="s">
        <v>240</v>
      </c>
      <c r="C10" s="153"/>
      <c r="D10" s="152">
        <v>20.0</v>
      </c>
      <c r="E10" s="153">
        <f t="shared" si="1"/>
        <v>35</v>
      </c>
    </row>
    <row r="11">
      <c r="A11" s="151">
        <v>44901.0</v>
      </c>
      <c r="B11" s="152" t="s">
        <v>233</v>
      </c>
      <c r="C11" s="153"/>
      <c r="D11" s="152">
        <v>20.0</v>
      </c>
      <c r="E11" s="153">
        <f t="shared" si="1"/>
        <v>15</v>
      </c>
    </row>
    <row r="12">
      <c r="A12" s="151">
        <v>44903.0</v>
      </c>
      <c r="B12" s="152" t="s">
        <v>212</v>
      </c>
      <c r="C12" s="153">
        <v>60.0</v>
      </c>
      <c r="D12" s="152"/>
      <c r="E12" s="153">
        <f t="shared" si="1"/>
        <v>75</v>
      </c>
    </row>
    <row r="13">
      <c r="A13" s="151">
        <v>44903.0</v>
      </c>
      <c r="B13" s="152" t="s">
        <v>196</v>
      </c>
      <c r="C13" s="153"/>
      <c r="D13" s="152">
        <v>20.0</v>
      </c>
      <c r="E13" s="153">
        <f t="shared" si="1"/>
        <v>55</v>
      </c>
    </row>
    <row r="14">
      <c r="A14" s="151">
        <v>44905.0</v>
      </c>
      <c r="B14" s="152" t="s">
        <v>194</v>
      </c>
      <c r="C14" s="153"/>
      <c r="D14" s="152">
        <v>40.0</v>
      </c>
      <c r="E14" s="153">
        <f t="shared" si="1"/>
        <v>15</v>
      </c>
    </row>
    <row r="15">
      <c r="A15" s="151">
        <v>44905.0</v>
      </c>
      <c r="B15" s="152" t="s">
        <v>242</v>
      </c>
      <c r="C15" s="153"/>
      <c r="D15" s="152">
        <v>6.0</v>
      </c>
      <c r="E15" s="153">
        <f t="shared" si="1"/>
        <v>9</v>
      </c>
    </row>
    <row r="16">
      <c r="A16" s="154">
        <v>44909.0</v>
      </c>
      <c r="B16" s="155" t="s">
        <v>244</v>
      </c>
      <c r="C16" s="156"/>
      <c r="D16" s="155">
        <v>6.0</v>
      </c>
      <c r="E16" s="156">
        <f t="shared" si="1"/>
        <v>3</v>
      </c>
    </row>
    <row r="17">
      <c r="A17" s="151">
        <v>44911.0</v>
      </c>
      <c r="B17" s="152" t="s">
        <v>200</v>
      </c>
      <c r="C17" s="153"/>
      <c r="D17" s="152">
        <v>3.0</v>
      </c>
      <c r="E17" s="153">
        <f t="shared" si="1"/>
        <v>0</v>
      </c>
    </row>
    <row r="18">
      <c r="A18" s="151">
        <v>44943.0</v>
      </c>
      <c r="B18" s="152" t="s">
        <v>212</v>
      </c>
      <c r="C18" s="153">
        <v>3.0</v>
      </c>
      <c r="D18" s="152"/>
      <c r="E18" s="153">
        <f t="shared" si="1"/>
        <v>3</v>
      </c>
    </row>
    <row r="19">
      <c r="A19" s="151">
        <v>44985.0</v>
      </c>
      <c r="B19" s="152" t="s">
        <v>200</v>
      </c>
      <c r="C19" s="153"/>
      <c r="D19" s="152">
        <v>3.0</v>
      </c>
      <c r="E19" s="153">
        <f t="shared" si="1"/>
        <v>0</v>
      </c>
    </row>
    <row r="20">
      <c r="A20" s="151">
        <v>45080.0</v>
      </c>
      <c r="B20" s="152" t="s">
        <v>212</v>
      </c>
      <c r="C20" s="153">
        <v>40.0</v>
      </c>
      <c r="D20" s="152"/>
      <c r="E20" s="153">
        <f t="shared" si="1"/>
        <v>40</v>
      </c>
    </row>
    <row r="21" ht="15.75" customHeight="1">
      <c r="A21" s="151">
        <v>45080.0</v>
      </c>
      <c r="B21" s="152" t="s">
        <v>241</v>
      </c>
      <c r="C21" s="153"/>
      <c r="D21" s="152">
        <v>4.0</v>
      </c>
      <c r="E21" s="153">
        <f t="shared" si="1"/>
        <v>36</v>
      </c>
    </row>
    <row r="22" ht="15.75" customHeight="1">
      <c r="A22" s="151">
        <v>45082.0</v>
      </c>
      <c r="B22" s="152" t="s">
        <v>243</v>
      </c>
      <c r="C22" s="153"/>
      <c r="D22" s="152">
        <v>8.0</v>
      </c>
      <c r="E22" s="153">
        <f t="shared" si="1"/>
        <v>28</v>
      </c>
    </row>
    <row r="23" ht="15.75" customHeight="1">
      <c r="A23" s="151">
        <v>45096.0</v>
      </c>
      <c r="B23" s="152" t="s">
        <v>192</v>
      </c>
      <c r="C23" s="153"/>
      <c r="D23" s="152">
        <v>20.0</v>
      </c>
      <c r="E23" s="153">
        <f t="shared" si="1"/>
        <v>8</v>
      </c>
    </row>
    <row r="24" ht="15.75" customHeight="1">
      <c r="A24" s="151">
        <v>45100.0</v>
      </c>
      <c r="B24" s="152" t="s">
        <v>246</v>
      </c>
      <c r="C24" s="153"/>
      <c r="D24" s="152">
        <v>8.0</v>
      </c>
      <c r="E24" s="153">
        <f t="shared" si="1"/>
        <v>0</v>
      </c>
    </row>
    <row r="25" ht="15.75" customHeight="1">
      <c r="A25" s="151"/>
      <c r="B25" s="152"/>
      <c r="C25" s="153"/>
      <c r="D25" s="152"/>
      <c r="E25" s="153">
        <f t="shared" si="1"/>
        <v>0</v>
      </c>
    </row>
    <row r="26" ht="15.75" customHeight="1">
      <c r="A26" s="151"/>
      <c r="B26" s="152"/>
      <c r="C26" s="153"/>
      <c r="D26" s="152"/>
      <c r="E26" s="153">
        <f t="shared" si="1"/>
        <v>0</v>
      </c>
    </row>
    <row r="27" ht="15.75" customHeight="1">
      <c r="A27" s="151"/>
      <c r="B27" s="152"/>
      <c r="C27" s="153"/>
      <c r="D27" s="152"/>
      <c r="E27" s="153">
        <f t="shared" si="1"/>
        <v>0</v>
      </c>
    </row>
    <row r="28" ht="15.75" customHeight="1">
      <c r="A28" s="151"/>
      <c r="B28" s="152"/>
      <c r="C28" s="153"/>
      <c r="D28" s="152"/>
      <c r="E28" s="153">
        <f t="shared" si="1"/>
        <v>0</v>
      </c>
    </row>
    <row r="29" ht="15.75" customHeight="1">
      <c r="A29" s="151"/>
      <c r="B29" s="152"/>
      <c r="C29" s="153"/>
      <c r="D29" s="152"/>
      <c r="E29" s="153">
        <f t="shared" si="1"/>
        <v>0</v>
      </c>
    </row>
    <row r="30" ht="15.75" customHeight="1">
      <c r="A30" s="151"/>
      <c r="B30" s="158"/>
      <c r="C30" s="157"/>
      <c r="D30" s="158"/>
      <c r="E30" s="153">
        <f t="shared" si="1"/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237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6.0</v>
      </c>
    </row>
    <row r="5">
      <c r="A5" s="151">
        <v>44943.0</v>
      </c>
      <c r="B5" s="152" t="s">
        <v>212</v>
      </c>
      <c r="C5" s="153">
        <v>45.0</v>
      </c>
      <c r="D5" s="152"/>
      <c r="E5" s="153">
        <f t="shared" ref="E5:E15" si="1">E4-D5+C5</f>
        <v>51</v>
      </c>
    </row>
    <row r="6">
      <c r="A6" s="151">
        <v>44943.0</v>
      </c>
      <c r="B6" s="152" t="s">
        <v>206</v>
      </c>
      <c r="C6" s="153"/>
      <c r="D6" s="152">
        <v>40.0</v>
      </c>
      <c r="E6" s="153">
        <f t="shared" si="1"/>
        <v>11</v>
      </c>
    </row>
    <row r="7">
      <c r="A7" s="151">
        <v>45002.0</v>
      </c>
      <c r="B7" s="152" t="s">
        <v>197</v>
      </c>
      <c r="C7" s="153"/>
      <c r="D7" s="152">
        <v>2.0</v>
      </c>
      <c r="E7" s="153">
        <f t="shared" si="1"/>
        <v>9</v>
      </c>
    </row>
    <row r="8">
      <c r="A8" s="151">
        <v>45020.0</v>
      </c>
      <c r="B8" s="152" t="s">
        <v>200</v>
      </c>
      <c r="C8" s="153"/>
      <c r="D8" s="152">
        <v>1.0</v>
      </c>
      <c r="E8" s="153">
        <f t="shared" si="1"/>
        <v>8</v>
      </c>
    </row>
    <row r="9">
      <c r="A9" s="151">
        <v>45080.0</v>
      </c>
      <c r="B9" s="152" t="s">
        <v>212</v>
      </c>
      <c r="C9" s="153">
        <v>40.0</v>
      </c>
      <c r="D9" s="152"/>
      <c r="E9" s="153">
        <f t="shared" si="1"/>
        <v>48</v>
      </c>
    </row>
    <row r="10">
      <c r="A10" s="151">
        <v>45080.0</v>
      </c>
      <c r="B10" s="152" t="s">
        <v>241</v>
      </c>
      <c r="C10" s="153"/>
      <c r="D10" s="152">
        <v>4.0</v>
      </c>
      <c r="E10" s="153">
        <f t="shared" si="1"/>
        <v>44</v>
      </c>
    </row>
    <row r="11">
      <c r="A11" s="151">
        <v>45082.0</v>
      </c>
      <c r="B11" s="152" t="s">
        <v>243</v>
      </c>
      <c r="C11" s="153"/>
      <c r="D11" s="152">
        <v>8.0</v>
      </c>
      <c r="E11" s="153">
        <f t="shared" si="1"/>
        <v>36</v>
      </c>
    </row>
    <row r="12">
      <c r="A12" s="151">
        <v>45091.0</v>
      </c>
      <c r="B12" s="152" t="s">
        <v>200</v>
      </c>
      <c r="C12" s="153"/>
      <c r="D12" s="152">
        <v>20.0</v>
      </c>
      <c r="E12" s="153">
        <f t="shared" si="1"/>
        <v>16</v>
      </c>
    </row>
    <row r="13">
      <c r="A13" s="151">
        <v>45111.0</v>
      </c>
      <c r="B13" s="152" t="s">
        <v>230</v>
      </c>
      <c r="C13" s="153"/>
      <c r="D13" s="152">
        <v>10.0</v>
      </c>
      <c r="E13" s="153">
        <f t="shared" si="1"/>
        <v>6</v>
      </c>
    </row>
    <row r="14">
      <c r="A14" s="151"/>
      <c r="B14" s="152"/>
      <c r="C14" s="153"/>
      <c r="D14" s="163">
        <v>6.0</v>
      </c>
      <c r="E14" s="153">
        <f t="shared" si="1"/>
        <v>0</v>
      </c>
    </row>
    <row r="15">
      <c r="A15" s="151"/>
      <c r="B15" s="158"/>
      <c r="C15" s="157"/>
      <c r="D15" s="158"/>
      <c r="E15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245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4"/>
      <c r="B4" s="155"/>
      <c r="C4" s="156"/>
      <c r="D4" s="155"/>
      <c r="E4" s="156">
        <v>0.0</v>
      </c>
    </row>
    <row r="5">
      <c r="A5" s="151">
        <v>44943.0</v>
      </c>
      <c r="B5" s="152" t="s">
        <v>212</v>
      </c>
      <c r="C5" s="153">
        <v>20.0</v>
      </c>
      <c r="D5" s="152"/>
      <c r="E5" s="153">
        <f t="shared" ref="E5:E15" si="1">E4-D5+C5</f>
        <v>20</v>
      </c>
    </row>
    <row r="6">
      <c r="A6" s="151">
        <v>44943.0</v>
      </c>
      <c r="B6" s="152" t="s">
        <v>206</v>
      </c>
      <c r="C6" s="153"/>
      <c r="D6" s="152">
        <v>20.0</v>
      </c>
      <c r="E6" s="153">
        <f t="shared" si="1"/>
        <v>0</v>
      </c>
    </row>
    <row r="7">
      <c r="A7" s="151">
        <v>45080.0</v>
      </c>
      <c r="B7" s="152" t="s">
        <v>212</v>
      </c>
      <c r="C7" s="153">
        <v>40.0</v>
      </c>
      <c r="D7" s="152"/>
      <c r="E7" s="153">
        <f t="shared" si="1"/>
        <v>40</v>
      </c>
    </row>
    <row r="8">
      <c r="A8" s="151">
        <v>45080.0</v>
      </c>
      <c r="B8" s="152" t="s">
        <v>241</v>
      </c>
      <c r="C8" s="153"/>
      <c r="D8" s="152">
        <v>4.0</v>
      </c>
      <c r="E8" s="153">
        <f t="shared" si="1"/>
        <v>36</v>
      </c>
    </row>
    <row r="9">
      <c r="A9" s="151">
        <v>45082.0</v>
      </c>
      <c r="B9" s="152" t="s">
        <v>243</v>
      </c>
      <c r="C9" s="153"/>
      <c r="D9" s="152">
        <v>8.0</v>
      </c>
      <c r="E9" s="153">
        <f t="shared" si="1"/>
        <v>28</v>
      </c>
    </row>
    <row r="10">
      <c r="A10" s="151">
        <v>45094.0</v>
      </c>
      <c r="B10" s="152" t="s">
        <v>248</v>
      </c>
      <c r="C10" s="153"/>
      <c r="D10" s="152">
        <v>20.0</v>
      </c>
      <c r="E10" s="153">
        <f t="shared" si="1"/>
        <v>8</v>
      </c>
    </row>
    <row r="11">
      <c r="A11" s="151">
        <v>45100.0</v>
      </c>
      <c r="B11" s="152" t="s">
        <v>246</v>
      </c>
      <c r="C11" s="153"/>
      <c r="D11" s="152">
        <v>8.0</v>
      </c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2"/>
      <c r="C14" s="153"/>
      <c r="D14" s="152"/>
      <c r="E14" s="153">
        <f t="shared" si="1"/>
        <v>0</v>
      </c>
    </row>
    <row r="15">
      <c r="A15" s="151"/>
      <c r="B15" s="158"/>
      <c r="C15" s="157"/>
      <c r="D15" s="158"/>
      <c r="E15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247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>
        <v>45080.0</v>
      </c>
      <c r="B4" s="152" t="s">
        <v>247</v>
      </c>
      <c r="C4" s="153">
        <v>40.0</v>
      </c>
      <c r="D4" s="152"/>
      <c r="E4" s="153">
        <f>C4</f>
        <v>40</v>
      </c>
    </row>
    <row r="5">
      <c r="A5" s="151">
        <v>45080.0</v>
      </c>
      <c r="B5" s="152" t="s">
        <v>249</v>
      </c>
      <c r="C5" s="153"/>
      <c r="D5" s="152">
        <v>4.0</v>
      </c>
      <c r="E5" s="153">
        <f t="shared" ref="E5:E14" si="1">E4-D5+C5</f>
        <v>36</v>
      </c>
    </row>
    <row r="6">
      <c r="A6" s="151">
        <v>45082.0</v>
      </c>
      <c r="B6" s="152" t="s">
        <v>207</v>
      </c>
      <c r="C6" s="153"/>
      <c r="D6" s="152">
        <v>8.0</v>
      </c>
      <c r="E6" s="153">
        <f t="shared" si="1"/>
        <v>28</v>
      </c>
    </row>
    <row r="7">
      <c r="A7" s="151">
        <v>45092.0</v>
      </c>
      <c r="B7" s="152" t="s">
        <v>250</v>
      </c>
      <c r="C7" s="153"/>
      <c r="D7" s="152">
        <v>20.0</v>
      </c>
      <c r="E7" s="153">
        <f t="shared" si="1"/>
        <v>8</v>
      </c>
    </row>
    <row r="8">
      <c r="A8" s="151">
        <v>45093.0</v>
      </c>
      <c r="B8" s="152" t="s">
        <v>200</v>
      </c>
      <c r="C8" s="153"/>
      <c r="D8" s="152">
        <v>7.0</v>
      </c>
      <c r="E8" s="153">
        <f t="shared" si="1"/>
        <v>1</v>
      </c>
    </row>
    <row r="9">
      <c r="A9" s="151">
        <v>45100.0</v>
      </c>
      <c r="B9" s="152" t="s">
        <v>251</v>
      </c>
      <c r="C9" s="153"/>
      <c r="D9" s="152">
        <v>1.0</v>
      </c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8"/>
      <c r="C14" s="157"/>
      <c r="D14" s="158"/>
      <c r="E14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252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>
        <v>45080.0</v>
      </c>
      <c r="B4" s="152" t="s">
        <v>252</v>
      </c>
      <c r="C4" s="153">
        <v>40.0</v>
      </c>
      <c r="D4" s="152"/>
      <c r="E4" s="153">
        <f>C4</f>
        <v>40</v>
      </c>
    </row>
    <row r="5">
      <c r="A5" s="151">
        <v>45080.0</v>
      </c>
      <c r="B5" s="152" t="s">
        <v>249</v>
      </c>
      <c r="C5" s="153"/>
      <c r="D5" s="152">
        <v>4.0</v>
      </c>
      <c r="E5" s="153">
        <f t="shared" ref="E5:E14" si="1">E4-D5+C5</f>
        <v>36</v>
      </c>
    </row>
    <row r="6">
      <c r="A6" s="151">
        <v>45082.0</v>
      </c>
      <c r="B6" s="152" t="s">
        <v>207</v>
      </c>
      <c r="C6" s="153"/>
      <c r="D6" s="152">
        <v>8.0</v>
      </c>
      <c r="E6" s="153">
        <f t="shared" si="1"/>
        <v>28</v>
      </c>
    </row>
    <row r="7">
      <c r="A7" s="151">
        <v>45092.0</v>
      </c>
      <c r="B7" s="152" t="s">
        <v>250</v>
      </c>
      <c r="C7" s="153"/>
      <c r="D7" s="152">
        <v>20.0</v>
      </c>
      <c r="E7" s="153">
        <f t="shared" si="1"/>
        <v>8</v>
      </c>
    </row>
    <row r="8">
      <c r="A8" s="151">
        <v>45093.0</v>
      </c>
      <c r="B8" s="152" t="s">
        <v>200</v>
      </c>
      <c r="C8" s="153"/>
      <c r="D8" s="152">
        <v>8.0</v>
      </c>
      <c r="E8" s="153">
        <f t="shared" si="1"/>
        <v>0</v>
      </c>
    </row>
    <row r="9">
      <c r="A9" s="151">
        <v>45099.0</v>
      </c>
      <c r="B9" s="152" t="s">
        <v>204</v>
      </c>
      <c r="C9" s="153">
        <v>20.0</v>
      </c>
      <c r="D9" s="152"/>
      <c r="E9" s="153">
        <f t="shared" si="1"/>
        <v>20</v>
      </c>
    </row>
    <row r="10">
      <c r="A10" s="151">
        <v>45100.0</v>
      </c>
      <c r="B10" s="152" t="s">
        <v>251</v>
      </c>
      <c r="C10" s="153"/>
      <c r="D10" s="152">
        <v>7.0</v>
      </c>
      <c r="E10" s="153">
        <f t="shared" si="1"/>
        <v>13</v>
      </c>
    </row>
    <row r="11">
      <c r="A11" s="151">
        <v>45111.0</v>
      </c>
      <c r="B11" s="152" t="s">
        <v>230</v>
      </c>
      <c r="C11" s="153"/>
      <c r="D11" s="152">
        <v>10.0</v>
      </c>
      <c r="E11" s="153">
        <f t="shared" si="1"/>
        <v>3</v>
      </c>
    </row>
    <row r="12">
      <c r="A12" s="151"/>
      <c r="B12" s="152"/>
      <c r="C12" s="153"/>
      <c r="D12" s="163">
        <v>3.0</v>
      </c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8"/>
      <c r="C14" s="157"/>
      <c r="D14" s="158"/>
      <c r="E14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253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66.0</v>
      </c>
    </row>
    <row r="5">
      <c r="A5" s="151">
        <v>44943.0</v>
      </c>
      <c r="B5" s="152" t="s">
        <v>206</v>
      </c>
      <c r="C5" s="153"/>
      <c r="D5" s="152">
        <v>11.0</v>
      </c>
      <c r="E5" s="153">
        <f t="shared" ref="E5:E11" si="1">E4-D5+C5</f>
        <v>55</v>
      </c>
    </row>
    <row r="6">
      <c r="A6" s="151">
        <v>44986.0</v>
      </c>
      <c r="B6" s="152" t="s">
        <v>213</v>
      </c>
      <c r="C6" s="153"/>
      <c r="D6" s="152">
        <v>50.0</v>
      </c>
      <c r="E6" s="153">
        <f t="shared" si="1"/>
        <v>5</v>
      </c>
    </row>
    <row r="7">
      <c r="A7" s="151">
        <v>45036.0</v>
      </c>
      <c r="B7" s="152" t="s">
        <v>206</v>
      </c>
      <c r="C7" s="153"/>
      <c r="D7" s="152">
        <v>5.0</v>
      </c>
      <c r="E7" s="153">
        <f t="shared" si="1"/>
        <v>0</v>
      </c>
    </row>
    <row r="8">
      <c r="A8" s="151">
        <v>45093.0</v>
      </c>
      <c r="B8" s="152" t="s">
        <v>204</v>
      </c>
      <c r="C8" s="153">
        <v>24.0</v>
      </c>
      <c r="D8" s="152"/>
      <c r="E8" s="153">
        <f t="shared" si="1"/>
        <v>24</v>
      </c>
    </row>
    <row r="9">
      <c r="A9" s="151">
        <v>45093.0</v>
      </c>
      <c r="B9" s="152" t="s">
        <v>219</v>
      </c>
      <c r="C9" s="153"/>
      <c r="D9" s="152">
        <v>6.0</v>
      </c>
      <c r="E9" s="153">
        <f t="shared" si="1"/>
        <v>18</v>
      </c>
    </row>
    <row r="10">
      <c r="A10" s="151"/>
      <c r="B10" s="152"/>
      <c r="C10" s="153"/>
      <c r="D10" s="163">
        <v>18.0</v>
      </c>
      <c r="E10" s="153">
        <f t="shared" si="1"/>
        <v>0</v>
      </c>
    </row>
    <row r="11">
      <c r="A11" s="151"/>
      <c r="B11" s="158"/>
      <c r="C11" s="157"/>
      <c r="D11" s="158"/>
      <c r="E11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 ht="15.0" customHeight="1">
      <c r="A1" s="144" t="s">
        <v>254</v>
      </c>
      <c r="B1" s="145"/>
      <c r="C1" s="145"/>
      <c r="D1" s="145"/>
      <c r="E1" s="146"/>
    </row>
    <row r="2" ht="15.75" customHeight="1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48.0</v>
      </c>
    </row>
    <row r="5">
      <c r="A5" s="151">
        <v>44929.0</v>
      </c>
      <c r="B5" s="152" t="s">
        <v>255</v>
      </c>
      <c r="C5" s="153"/>
      <c r="D5" s="152">
        <v>30.0</v>
      </c>
      <c r="E5" s="153">
        <f t="shared" ref="E5:E14" si="1">E4-D5+C5</f>
        <v>18</v>
      </c>
    </row>
    <row r="6">
      <c r="A6" s="151">
        <v>44943.0</v>
      </c>
      <c r="B6" s="152" t="s">
        <v>206</v>
      </c>
      <c r="C6" s="153"/>
      <c r="D6" s="152">
        <v>2.0</v>
      </c>
      <c r="E6" s="153">
        <f t="shared" si="1"/>
        <v>16</v>
      </c>
    </row>
    <row r="7">
      <c r="A7" s="151">
        <v>44981.0</v>
      </c>
      <c r="B7" s="152" t="s">
        <v>213</v>
      </c>
      <c r="C7" s="153"/>
      <c r="D7" s="152">
        <v>16.0</v>
      </c>
      <c r="E7" s="153">
        <f t="shared" si="1"/>
        <v>0</v>
      </c>
    </row>
    <row r="8">
      <c r="A8" s="151">
        <v>45093.0</v>
      </c>
      <c r="B8" s="158" t="s">
        <v>204</v>
      </c>
      <c r="C8" s="153">
        <v>32.0</v>
      </c>
      <c r="D8" s="152"/>
      <c r="E8" s="153">
        <f t="shared" si="1"/>
        <v>32</v>
      </c>
    </row>
    <row r="9">
      <c r="A9" s="151">
        <v>45093.0</v>
      </c>
      <c r="B9" s="158" t="s">
        <v>200</v>
      </c>
      <c r="C9" s="153"/>
      <c r="D9" s="152">
        <v>6.0</v>
      </c>
      <c r="E9" s="153">
        <f t="shared" si="1"/>
        <v>26</v>
      </c>
    </row>
    <row r="10">
      <c r="A10" s="151">
        <v>45125.0</v>
      </c>
      <c r="B10" s="158" t="s">
        <v>256</v>
      </c>
      <c r="C10" s="153"/>
      <c r="D10" s="152">
        <v>26.0</v>
      </c>
      <c r="E10" s="153">
        <f t="shared" si="1"/>
        <v>0</v>
      </c>
    </row>
    <row r="11">
      <c r="A11" s="151"/>
      <c r="B11" s="158"/>
      <c r="C11" s="153"/>
      <c r="D11" s="152"/>
      <c r="E11" s="153">
        <f t="shared" si="1"/>
        <v>0</v>
      </c>
    </row>
    <row r="12">
      <c r="A12" s="151"/>
      <c r="B12" s="158"/>
      <c r="C12" s="153"/>
      <c r="D12" s="152"/>
      <c r="E12" s="153">
        <f t="shared" si="1"/>
        <v>0</v>
      </c>
    </row>
    <row r="13">
      <c r="A13" s="151"/>
      <c r="B13" s="158"/>
      <c r="C13" s="153"/>
      <c r="D13" s="152"/>
      <c r="E13" s="153">
        <f t="shared" si="1"/>
        <v>0</v>
      </c>
    </row>
    <row r="14">
      <c r="A14" s="151"/>
      <c r="B14" s="158"/>
      <c r="C14" s="157"/>
      <c r="D14" s="158"/>
      <c r="E14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257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48.0</v>
      </c>
    </row>
    <row r="5">
      <c r="A5" s="151">
        <v>44929.0</v>
      </c>
      <c r="B5" s="152" t="s">
        <v>255</v>
      </c>
      <c r="C5" s="153"/>
      <c r="D5" s="152">
        <v>32.0</v>
      </c>
      <c r="E5" s="153">
        <f t="shared" ref="E5:E12" si="1">E4-D5+C5</f>
        <v>16</v>
      </c>
    </row>
    <row r="6">
      <c r="A6" s="151">
        <v>44943.0</v>
      </c>
      <c r="B6" s="152" t="s">
        <v>206</v>
      </c>
      <c r="C6" s="153"/>
      <c r="D6" s="152">
        <v>10.0</v>
      </c>
      <c r="E6" s="153">
        <f t="shared" si="1"/>
        <v>6</v>
      </c>
    </row>
    <row r="7">
      <c r="A7" s="151">
        <v>44981.0</v>
      </c>
      <c r="B7" s="152" t="s">
        <v>213</v>
      </c>
      <c r="C7" s="153"/>
      <c r="D7" s="152">
        <v>1.0</v>
      </c>
      <c r="E7" s="153">
        <f t="shared" si="1"/>
        <v>5</v>
      </c>
    </row>
    <row r="8">
      <c r="A8" s="151">
        <v>44986.0</v>
      </c>
      <c r="B8" s="152" t="s">
        <v>213</v>
      </c>
      <c r="C8" s="153"/>
      <c r="D8" s="152">
        <v>4.0</v>
      </c>
      <c r="E8" s="153">
        <f t="shared" si="1"/>
        <v>1</v>
      </c>
    </row>
    <row r="9">
      <c r="A9" s="151">
        <v>45036.0</v>
      </c>
      <c r="B9" s="152" t="s">
        <v>206</v>
      </c>
      <c r="C9" s="153"/>
      <c r="D9" s="152">
        <v>1.0</v>
      </c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8"/>
      <c r="C12" s="157"/>
      <c r="D12" s="158"/>
      <c r="E12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258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43.0</v>
      </c>
    </row>
    <row r="5">
      <c r="A5" s="151">
        <v>44943.0</v>
      </c>
      <c r="B5" s="158" t="s">
        <v>206</v>
      </c>
      <c r="C5" s="153"/>
      <c r="D5" s="152">
        <v>6.0</v>
      </c>
      <c r="E5" s="153">
        <f t="shared" ref="E5:E17" si="1">E4-D5+C5</f>
        <v>37</v>
      </c>
    </row>
    <row r="6">
      <c r="A6" s="151">
        <v>44967.0</v>
      </c>
      <c r="B6" s="152" t="s">
        <v>259</v>
      </c>
      <c r="C6" s="153"/>
      <c r="D6" s="152">
        <v>33.0</v>
      </c>
      <c r="E6" s="153">
        <f t="shared" si="1"/>
        <v>4</v>
      </c>
    </row>
    <row r="7">
      <c r="A7" s="151">
        <v>44967.0</v>
      </c>
      <c r="B7" s="152" t="s">
        <v>212</v>
      </c>
      <c r="C7" s="153">
        <v>60.0</v>
      </c>
      <c r="D7" s="152"/>
      <c r="E7" s="153">
        <f t="shared" si="1"/>
        <v>64</v>
      </c>
    </row>
    <row r="8">
      <c r="A8" s="151">
        <v>45001.0</v>
      </c>
      <c r="B8" s="152" t="s">
        <v>200</v>
      </c>
      <c r="C8" s="153"/>
      <c r="D8" s="152">
        <v>20.0</v>
      </c>
      <c r="E8" s="153">
        <f t="shared" si="1"/>
        <v>44</v>
      </c>
    </row>
    <row r="9">
      <c r="A9" s="151">
        <v>45047.0</v>
      </c>
      <c r="B9" s="152" t="s">
        <v>262</v>
      </c>
      <c r="C9" s="153"/>
      <c r="D9" s="152">
        <v>40.0</v>
      </c>
      <c r="E9" s="153">
        <f t="shared" si="1"/>
        <v>4</v>
      </c>
    </row>
    <row r="10">
      <c r="A10" s="151">
        <v>45055.0</v>
      </c>
      <c r="B10" s="152" t="s">
        <v>200</v>
      </c>
      <c r="C10" s="153"/>
      <c r="D10" s="152">
        <v>4.0</v>
      </c>
      <c r="E10" s="153">
        <f t="shared" si="1"/>
        <v>0</v>
      </c>
    </row>
    <row r="11">
      <c r="A11" s="151">
        <v>45093.0</v>
      </c>
      <c r="B11" s="152" t="s">
        <v>212</v>
      </c>
      <c r="C11" s="153">
        <v>20.0</v>
      </c>
      <c r="D11" s="152"/>
      <c r="E11" s="153">
        <f t="shared" si="1"/>
        <v>20</v>
      </c>
    </row>
    <row r="12">
      <c r="A12" s="151">
        <v>45093.0</v>
      </c>
      <c r="B12" s="152" t="s">
        <v>200</v>
      </c>
      <c r="C12" s="153"/>
      <c r="D12" s="152">
        <v>4.0</v>
      </c>
      <c r="E12" s="153">
        <f t="shared" si="1"/>
        <v>16</v>
      </c>
    </row>
    <row r="13">
      <c r="A13" s="151"/>
      <c r="B13" s="152"/>
      <c r="C13" s="153"/>
      <c r="D13" s="163">
        <v>16.0</v>
      </c>
      <c r="E13" s="153">
        <f t="shared" si="1"/>
        <v>0</v>
      </c>
    </row>
    <row r="14">
      <c r="A14" s="151"/>
      <c r="B14" s="152"/>
      <c r="C14" s="153"/>
      <c r="D14" s="152"/>
      <c r="E14" s="153">
        <f t="shared" si="1"/>
        <v>0</v>
      </c>
    </row>
    <row r="15">
      <c r="A15" s="151"/>
      <c r="B15" s="152"/>
      <c r="C15" s="153"/>
      <c r="D15" s="152"/>
      <c r="E15" s="153">
        <f t="shared" si="1"/>
        <v>0</v>
      </c>
    </row>
    <row r="16">
      <c r="A16" s="151"/>
      <c r="B16" s="152"/>
      <c r="C16" s="153"/>
      <c r="D16" s="152"/>
      <c r="E16" s="153">
        <f t="shared" si="1"/>
        <v>0</v>
      </c>
    </row>
    <row r="17">
      <c r="A17" s="151"/>
      <c r="B17" s="158"/>
      <c r="C17" s="157"/>
      <c r="D17" s="158"/>
      <c r="E17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260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16.0</v>
      </c>
    </row>
    <row r="5">
      <c r="A5" s="151">
        <v>44943.0</v>
      </c>
      <c r="B5" s="158" t="s">
        <v>206</v>
      </c>
      <c r="C5" s="153"/>
      <c r="D5" s="152">
        <v>3.0</v>
      </c>
      <c r="E5" s="153">
        <f t="shared" ref="E5:E9" si="1">E4-D5+C5</f>
        <v>13</v>
      </c>
    </row>
    <row r="6">
      <c r="A6" s="151">
        <v>44967.0</v>
      </c>
      <c r="B6" s="152" t="s">
        <v>259</v>
      </c>
      <c r="C6" s="153"/>
      <c r="D6" s="152">
        <v>13.0</v>
      </c>
      <c r="E6" s="153">
        <f t="shared" si="1"/>
        <v>0</v>
      </c>
    </row>
    <row r="7">
      <c r="A7" s="151">
        <v>44967.0</v>
      </c>
      <c r="B7" s="152" t="s">
        <v>212</v>
      </c>
      <c r="C7" s="153">
        <v>60.0</v>
      </c>
      <c r="D7" s="152"/>
      <c r="E7" s="153">
        <f t="shared" si="1"/>
        <v>60</v>
      </c>
    </row>
    <row r="8">
      <c r="A8" s="151">
        <v>44970.0</v>
      </c>
      <c r="B8" s="152" t="s">
        <v>233</v>
      </c>
      <c r="C8" s="153"/>
      <c r="D8" s="152">
        <v>60.0</v>
      </c>
      <c r="E8" s="153">
        <f t="shared" si="1"/>
        <v>0</v>
      </c>
    </row>
    <row r="9">
      <c r="A9" s="151"/>
      <c r="B9" s="158"/>
      <c r="C9" s="157"/>
      <c r="D9" s="158"/>
      <c r="E9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261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11.0</v>
      </c>
    </row>
    <row r="5">
      <c r="A5" s="151">
        <v>44943.0</v>
      </c>
      <c r="B5" s="158" t="s">
        <v>206</v>
      </c>
      <c r="C5" s="153"/>
      <c r="D5" s="152">
        <v>3.0</v>
      </c>
      <c r="E5" s="153">
        <f t="shared" ref="E5:E13" si="1">E4-D5+C5</f>
        <v>8</v>
      </c>
    </row>
    <row r="6">
      <c r="A6" s="151">
        <v>44967.0</v>
      </c>
      <c r="B6" s="152" t="s">
        <v>259</v>
      </c>
      <c r="C6" s="153"/>
      <c r="D6" s="152">
        <v>8.0</v>
      </c>
      <c r="E6" s="153">
        <f t="shared" si="1"/>
        <v>0</v>
      </c>
    </row>
    <row r="7">
      <c r="A7" s="151">
        <v>44967.0</v>
      </c>
      <c r="B7" s="152" t="s">
        <v>212</v>
      </c>
      <c r="C7" s="153">
        <v>60.0</v>
      </c>
      <c r="D7" s="152"/>
      <c r="E7" s="153">
        <f t="shared" si="1"/>
        <v>60</v>
      </c>
    </row>
    <row r="8">
      <c r="A8" s="151">
        <v>44968.0</v>
      </c>
      <c r="B8" s="152" t="s">
        <v>263</v>
      </c>
      <c r="C8" s="153"/>
      <c r="D8" s="152">
        <v>40.0</v>
      </c>
      <c r="E8" s="153">
        <f t="shared" si="1"/>
        <v>20</v>
      </c>
    </row>
    <row r="9">
      <c r="A9" s="151">
        <v>45047.0</v>
      </c>
      <c r="B9" s="152" t="s">
        <v>262</v>
      </c>
      <c r="C9" s="153"/>
      <c r="D9" s="152">
        <v>20.0</v>
      </c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8"/>
      <c r="C13" s="157"/>
      <c r="D13" s="158"/>
      <c r="E13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264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0.0</v>
      </c>
    </row>
    <row r="5">
      <c r="A5" s="151">
        <v>44967.0</v>
      </c>
      <c r="B5" s="158" t="s">
        <v>212</v>
      </c>
      <c r="C5" s="153">
        <v>160.0</v>
      </c>
      <c r="D5" s="152"/>
      <c r="E5" s="153">
        <f t="shared" ref="E5:E11" si="1">E4-D5+C5</f>
        <v>160</v>
      </c>
    </row>
    <row r="6">
      <c r="A6" s="151">
        <v>44967.0</v>
      </c>
      <c r="B6" s="158" t="s">
        <v>266</v>
      </c>
      <c r="C6" s="153"/>
      <c r="D6" s="152">
        <v>20.0</v>
      </c>
      <c r="E6" s="153">
        <f t="shared" si="1"/>
        <v>140</v>
      </c>
    </row>
    <row r="7">
      <c r="A7" s="151">
        <v>44985.0</v>
      </c>
      <c r="B7" s="158" t="s">
        <v>197</v>
      </c>
      <c r="C7" s="153"/>
      <c r="D7" s="152">
        <v>20.0</v>
      </c>
      <c r="E7" s="153">
        <f t="shared" si="1"/>
        <v>120</v>
      </c>
    </row>
    <row r="8">
      <c r="A8" s="151">
        <v>44995.0</v>
      </c>
      <c r="B8" s="158" t="s">
        <v>268</v>
      </c>
      <c r="C8" s="153"/>
      <c r="D8" s="152">
        <v>100.0</v>
      </c>
      <c r="E8" s="153">
        <f t="shared" si="1"/>
        <v>20</v>
      </c>
    </row>
    <row r="9">
      <c r="A9" s="151">
        <v>45047.0</v>
      </c>
      <c r="B9" s="152" t="s">
        <v>262</v>
      </c>
      <c r="C9" s="153"/>
      <c r="D9" s="152">
        <v>20.0</v>
      </c>
      <c r="E9" s="153">
        <f t="shared" si="1"/>
        <v>0</v>
      </c>
    </row>
    <row r="10">
      <c r="A10" s="151"/>
      <c r="B10" s="158"/>
      <c r="C10" s="153"/>
      <c r="D10" s="152"/>
      <c r="E10" s="153">
        <f t="shared" si="1"/>
        <v>0</v>
      </c>
    </row>
    <row r="11">
      <c r="A11" s="151"/>
      <c r="B11" s="158"/>
      <c r="C11" s="157"/>
      <c r="D11" s="158"/>
      <c r="E11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265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16.0</v>
      </c>
    </row>
    <row r="5">
      <c r="A5" s="154">
        <v>44943.0</v>
      </c>
      <c r="B5" s="155" t="s">
        <v>206</v>
      </c>
      <c r="C5" s="156"/>
      <c r="D5" s="155">
        <v>10.0</v>
      </c>
      <c r="E5" s="156">
        <f t="shared" ref="E5:E15" si="1">E4-D5+C5</f>
        <v>6</v>
      </c>
    </row>
    <row r="6">
      <c r="A6" s="151">
        <v>44967.0</v>
      </c>
      <c r="B6" s="152" t="s">
        <v>259</v>
      </c>
      <c r="C6" s="153"/>
      <c r="D6" s="152">
        <v>6.0</v>
      </c>
      <c r="E6" s="153">
        <f t="shared" si="1"/>
        <v>0</v>
      </c>
    </row>
    <row r="7">
      <c r="A7" s="151">
        <v>44967.0</v>
      </c>
      <c r="B7" s="152" t="s">
        <v>212</v>
      </c>
      <c r="C7" s="153">
        <v>60.0</v>
      </c>
      <c r="D7" s="152"/>
      <c r="E7" s="153">
        <f t="shared" si="1"/>
        <v>60</v>
      </c>
    </row>
    <row r="8">
      <c r="A8" s="151">
        <v>44968.0</v>
      </c>
      <c r="B8" s="152" t="s">
        <v>263</v>
      </c>
      <c r="C8" s="153"/>
      <c r="D8" s="152">
        <v>60.0</v>
      </c>
      <c r="E8" s="153">
        <f t="shared" si="1"/>
        <v>0</v>
      </c>
    </row>
    <row r="9">
      <c r="A9" s="151"/>
      <c r="B9" s="152"/>
      <c r="C9" s="153"/>
      <c r="D9" s="152"/>
      <c r="E9" s="153">
        <f t="shared" si="1"/>
        <v>0</v>
      </c>
    </row>
    <row r="10">
      <c r="A10" s="151"/>
      <c r="B10" s="152"/>
      <c r="C10" s="153"/>
      <c r="D10" s="152"/>
      <c r="E10" s="153">
        <f t="shared" si="1"/>
        <v>0</v>
      </c>
    </row>
    <row r="11">
      <c r="A11" s="151"/>
      <c r="B11" s="152"/>
      <c r="C11" s="153"/>
      <c r="D11" s="152"/>
      <c r="E11" s="153">
        <f t="shared" si="1"/>
        <v>0</v>
      </c>
    </row>
    <row r="12">
      <c r="A12" s="151"/>
      <c r="B12" s="152"/>
      <c r="C12" s="153"/>
      <c r="D12" s="152"/>
      <c r="E12" s="153">
        <f t="shared" si="1"/>
        <v>0</v>
      </c>
    </row>
    <row r="13">
      <c r="A13" s="151"/>
      <c r="B13" s="152"/>
      <c r="C13" s="153"/>
      <c r="D13" s="152"/>
      <c r="E13" s="153">
        <f t="shared" si="1"/>
        <v>0</v>
      </c>
    </row>
    <row r="14">
      <c r="A14" s="151"/>
      <c r="B14" s="152"/>
      <c r="C14" s="153"/>
      <c r="D14" s="152"/>
      <c r="E14" s="153">
        <f t="shared" si="1"/>
        <v>0</v>
      </c>
    </row>
    <row r="15">
      <c r="A15" s="151"/>
      <c r="B15" s="152"/>
      <c r="C15" s="153"/>
      <c r="D15" s="152"/>
      <c r="E15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267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216.0</v>
      </c>
    </row>
    <row r="5">
      <c r="A5" s="151">
        <v>44943.0</v>
      </c>
      <c r="B5" s="152" t="s">
        <v>206</v>
      </c>
      <c r="C5" s="153"/>
      <c r="D5" s="152">
        <v>21.0</v>
      </c>
      <c r="E5" s="153">
        <f t="shared" ref="E5:E9" si="1">E4-D5+C5</f>
        <v>195</v>
      </c>
    </row>
    <row r="6">
      <c r="A6" s="151">
        <v>45059.0</v>
      </c>
      <c r="B6" s="152" t="s">
        <v>205</v>
      </c>
      <c r="C6" s="153"/>
      <c r="D6" s="152">
        <v>108.0</v>
      </c>
      <c r="E6" s="153">
        <f t="shared" si="1"/>
        <v>87</v>
      </c>
    </row>
    <row r="7">
      <c r="A7" s="151">
        <v>45073.0</v>
      </c>
      <c r="B7" s="152" t="s">
        <v>212</v>
      </c>
      <c r="C7" s="153">
        <v>432.0</v>
      </c>
      <c r="D7" s="152"/>
      <c r="E7" s="153">
        <f t="shared" si="1"/>
        <v>519</v>
      </c>
    </row>
    <row r="8">
      <c r="A8" s="151">
        <v>45100.0</v>
      </c>
      <c r="B8" s="152" t="s">
        <v>205</v>
      </c>
      <c r="C8" s="153"/>
      <c r="D8" s="152">
        <v>24.0</v>
      </c>
      <c r="E8" s="153">
        <f t="shared" si="1"/>
        <v>495</v>
      </c>
    </row>
    <row r="9">
      <c r="A9" s="151"/>
      <c r="B9" s="158"/>
      <c r="C9" s="157"/>
      <c r="D9" s="161">
        <v>495.0</v>
      </c>
      <c r="E9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7.29"/>
    <col customWidth="1" min="3" max="3" width="18.71"/>
    <col customWidth="1" min="4" max="4" width="20.0"/>
    <col customWidth="1" min="5" max="5" width="23.29"/>
    <col customWidth="1" min="6" max="26" width="9.14"/>
  </cols>
  <sheetData>
    <row r="1">
      <c r="A1" s="144" t="s">
        <v>269</v>
      </c>
      <c r="B1" s="145"/>
      <c r="C1" s="145"/>
      <c r="D1" s="145"/>
      <c r="E1" s="146"/>
    </row>
    <row r="2">
      <c r="A2" s="147"/>
      <c r="B2" s="148"/>
      <c r="C2" s="148"/>
      <c r="D2" s="148"/>
      <c r="E2" s="149"/>
    </row>
    <row r="3">
      <c r="A3" s="150" t="s">
        <v>8</v>
      </c>
      <c r="B3" s="150" t="s">
        <v>189</v>
      </c>
      <c r="C3" s="150" t="s">
        <v>190</v>
      </c>
      <c r="D3" s="150" t="s">
        <v>191</v>
      </c>
      <c r="E3" s="150" t="s">
        <v>16</v>
      </c>
    </row>
    <row r="4">
      <c r="A4" s="151"/>
      <c r="B4" s="152"/>
      <c r="C4" s="153"/>
      <c r="D4" s="152"/>
      <c r="E4" s="153">
        <v>144.0</v>
      </c>
    </row>
    <row r="5">
      <c r="A5" s="151">
        <v>44943.0</v>
      </c>
      <c r="B5" s="152" t="s">
        <v>206</v>
      </c>
      <c r="C5" s="153"/>
      <c r="D5" s="152">
        <v>20.0</v>
      </c>
      <c r="E5" s="153">
        <f t="shared" ref="E5:E19" si="1">E4-D5+C5</f>
        <v>124</v>
      </c>
    </row>
    <row r="6">
      <c r="A6" s="151">
        <v>44972.0</v>
      </c>
      <c r="B6" s="152" t="s">
        <v>239</v>
      </c>
      <c r="C6" s="153"/>
      <c r="D6" s="152">
        <v>48.0</v>
      </c>
      <c r="E6" s="153">
        <f t="shared" si="1"/>
        <v>76</v>
      </c>
    </row>
    <row r="7">
      <c r="A7" s="151">
        <v>44972.0</v>
      </c>
      <c r="B7" s="152" t="s">
        <v>192</v>
      </c>
      <c r="C7" s="153"/>
      <c r="D7" s="152">
        <v>48.0</v>
      </c>
      <c r="E7" s="153">
        <f t="shared" si="1"/>
        <v>28</v>
      </c>
    </row>
    <row r="8">
      <c r="A8" s="151">
        <v>44972.0</v>
      </c>
      <c r="B8" s="152" t="s">
        <v>204</v>
      </c>
      <c r="C8" s="153">
        <v>240.0</v>
      </c>
      <c r="D8" s="152"/>
      <c r="E8" s="153">
        <f t="shared" si="1"/>
        <v>268</v>
      </c>
    </row>
    <row r="9">
      <c r="A9" s="151">
        <v>44977.0</v>
      </c>
      <c r="B9" s="152" t="s">
        <v>271</v>
      </c>
      <c r="C9" s="153"/>
      <c r="D9" s="152">
        <v>48.0</v>
      </c>
      <c r="E9" s="153">
        <f t="shared" si="1"/>
        <v>220</v>
      </c>
    </row>
    <row r="10">
      <c r="A10" s="151">
        <v>44977.0</v>
      </c>
      <c r="B10" s="152" t="s">
        <v>268</v>
      </c>
      <c r="C10" s="153"/>
      <c r="D10" s="152">
        <v>48.0</v>
      </c>
      <c r="E10" s="153">
        <f t="shared" si="1"/>
        <v>172</v>
      </c>
    </row>
    <row r="11">
      <c r="A11" s="151">
        <v>44978.0</v>
      </c>
      <c r="B11" s="159" t="s">
        <v>208</v>
      </c>
      <c r="C11" s="153"/>
      <c r="D11" s="152">
        <v>48.0</v>
      </c>
      <c r="E11" s="153">
        <f t="shared" si="1"/>
        <v>124</v>
      </c>
    </row>
    <row r="12">
      <c r="A12" s="151">
        <v>44979.0</v>
      </c>
      <c r="B12" s="171" t="s">
        <v>234</v>
      </c>
      <c r="C12" s="153"/>
      <c r="D12" s="152">
        <v>48.0</v>
      </c>
      <c r="E12" s="153">
        <f t="shared" si="1"/>
        <v>76</v>
      </c>
    </row>
    <row r="13">
      <c r="A13" s="151">
        <v>44981.0</v>
      </c>
      <c r="B13" s="152" t="s">
        <v>213</v>
      </c>
      <c r="C13" s="157"/>
      <c r="D13" s="158">
        <v>48.0</v>
      </c>
      <c r="E13" s="153">
        <f t="shared" si="1"/>
        <v>28</v>
      </c>
    </row>
    <row r="14">
      <c r="A14" s="151">
        <v>44984.0</v>
      </c>
      <c r="B14" s="171" t="s">
        <v>234</v>
      </c>
      <c r="C14" s="157"/>
      <c r="D14" s="158">
        <v>22.0</v>
      </c>
      <c r="E14" s="153">
        <f t="shared" si="1"/>
        <v>6</v>
      </c>
    </row>
    <row r="15">
      <c r="A15" s="151">
        <v>44987.0</v>
      </c>
      <c r="B15" s="171" t="s">
        <v>234</v>
      </c>
      <c r="C15" s="157"/>
      <c r="D15" s="158">
        <v>5.0</v>
      </c>
      <c r="E15" s="153">
        <f t="shared" si="1"/>
        <v>1</v>
      </c>
    </row>
    <row r="16">
      <c r="A16" s="151">
        <v>45036.0</v>
      </c>
      <c r="B16" s="152" t="s">
        <v>206</v>
      </c>
      <c r="C16" s="157"/>
      <c r="D16" s="158">
        <v>1.0</v>
      </c>
      <c r="E16" s="153">
        <f t="shared" si="1"/>
        <v>0</v>
      </c>
    </row>
    <row r="17">
      <c r="A17" s="151"/>
      <c r="B17" s="152"/>
      <c r="C17" s="157"/>
      <c r="D17" s="158"/>
      <c r="E17" s="153">
        <f t="shared" si="1"/>
        <v>0</v>
      </c>
    </row>
    <row r="18">
      <c r="A18" s="151"/>
      <c r="B18" s="152"/>
      <c r="C18" s="157"/>
      <c r="D18" s="158"/>
      <c r="E18" s="153">
        <f t="shared" si="1"/>
        <v>0</v>
      </c>
    </row>
    <row r="19">
      <c r="A19" s="151"/>
      <c r="B19" s="152"/>
      <c r="C19" s="157"/>
      <c r="D19" s="158"/>
      <c r="E19" s="15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132.0</v>
      </c>
    </row>
    <row r="5">
      <c r="A5" s="151">
        <v>44940.0</v>
      </c>
      <c r="B5" s="158" t="s">
        <v>206</v>
      </c>
      <c r="C5" s="158"/>
      <c r="D5" s="158">
        <v>15.0</v>
      </c>
      <c r="E5" s="158">
        <f t="shared" ref="E5:E10" si="1">E4-D5+C5</f>
        <v>117</v>
      </c>
    </row>
    <row r="6">
      <c r="A6" s="151">
        <v>44960.0</v>
      </c>
      <c r="B6" s="158" t="s">
        <v>200</v>
      </c>
      <c r="C6" s="158"/>
      <c r="D6" s="158">
        <v>34.0</v>
      </c>
      <c r="E6" s="158">
        <f t="shared" si="1"/>
        <v>83</v>
      </c>
    </row>
    <row r="7">
      <c r="A7" s="151">
        <v>45036.0</v>
      </c>
      <c r="B7" s="158" t="s">
        <v>206</v>
      </c>
      <c r="C7" s="158"/>
      <c r="D7" s="158">
        <v>19.0</v>
      </c>
      <c r="E7" s="158">
        <f t="shared" si="1"/>
        <v>64</v>
      </c>
    </row>
    <row r="8">
      <c r="A8" s="151"/>
      <c r="B8" s="158"/>
      <c r="C8" s="158"/>
      <c r="D8" s="161">
        <v>64.0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E11" s="158"/>
    </row>
    <row r="14">
      <c r="B14" s="1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4" width="9.14"/>
    <col customWidth="1" min="5" max="5" width="20.29"/>
    <col customWidth="1" min="6" max="26" width="9.14"/>
  </cols>
  <sheetData>
    <row r="1">
      <c r="A1" s="166" t="s">
        <v>272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4"/>
      <c r="B4" s="155"/>
      <c r="C4" s="155"/>
      <c r="D4" s="155"/>
      <c r="E4" s="155">
        <v>71.0</v>
      </c>
    </row>
    <row r="5">
      <c r="A5" s="151">
        <v>44960.0</v>
      </c>
      <c r="B5" s="152" t="s">
        <v>200</v>
      </c>
      <c r="C5" s="158"/>
      <c r="D5" s="158">
        <v>24.0</v>
      </c>
      <c r="E5" s="158">
        <f t="shared" ref="E5:E9" si="1">E4-D5+C5</f>
        <v>47</v>
      </c>
    </row>
    <row r="6">
      <c r="A6" s="151"/>
      <c r="B6" s="158"/>
      <c r="C6" s="158"/>
      <c r="D6" s="161">
        <v>47.0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E10" s="1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273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24.0</v>
      </c>
    </row>
    <row r="5">
      <c r="A5" s="151">
        <v>44943.0</v>
      </c>
      <c r="B5" s="158" t="s">
        <v>206</v>
      </c>
      <c r="C5" s="158"/>
      <c r="D5" s="158">
        <v>3.0</v>
      </c>
      <c r="E5" s="158">
        <f t="shared" ref="E5:E8" si="1">E4-D5+C5</f>
        <v>21</v>
      </c>
    </row>
    <row r="6">
      <c r="A6" s="151"/>
      <c r="B6" s="158"/>
      <c r="C6" s="158"/>
      <c r="D6" s="161">
        <v>21.0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274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16.0</v>
      </c>
    </row>
    <row r="5">
      <c r="A5" s="151">
        <v>44926.0</v>
      </c>
      <c r="B5" s="158" t="s">
        <v>275</v>
      </c>
      <c r="C5" s="158"/>
      <c r="D5" s="158">
        <v>1.0</v>
      </c>
      <c r="E5" s="158">
        <f t="shared" ref="E5:E8" si="1">E4-D5+C5</f>
        <v>15</v>
      </c>
    </row>
    <row r="6">
      <c r="A6" s="151"/>
      <c r="B6" s="158"/>
      <c r="C6" s="158"/>
      <c r="D6" s="161">
        <v>15.0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44826.0</v>
      </c>
      <c r="B4" s="158" t="s">
        <v>276</v>
      </c>
      <c r="C4" s="158">
        <v>72.0</v>
      </c>
      <c r="D4" s="173"/>
      <c r="E4" s="158">
        <f>C4</f>
        <v>72</v>
      </c>
    </row>
    <row r="5">
      <c r="A5" s="151">
        <v>44912.0</v>
      </c>
      <c r="B5" s="158" t="s">
        <v>278</v>
      </c>
      <c r="C5" s="158"/>
      <c r="D5" s="158">
        <v>36.0</v>
      </c>
      <c r="E5" s="158">
        <f t="shared" ref="E5:E14" si="1">E4-D5+C5</f>
        <v>36</v>
      </c>
    </row>
    <row r="6">
      <c r="A6" s="151"/>
      <c r="B6" s="158"/>
      <c r="C6" s="158"/>
      <c r="D6" s="161">
        <v>36.0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74">
        <f>E14/36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277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92.0</v>
      </c>
    </row>
    <row r="5">
      <c r="A5" s="151">
        <v>44930.0</v>
      </c>
      <c r="B5" s="158" t="s">
        <v>200</v>
      </c>
      <c r="C5" s="158"/>
      <c r="D5" s="158">
        <v>36.0</v>
      </c>
      <c r="E5" s="158">
        <f t="shared" ref="E5:E12" si="1">E4-D5+C5</f>
        <v>56</v>
      </c>
    </row>
    <row r="6">
      <c r="A6" s="151">
        <v>44945.0</v>
      </c>
      <c r="B6" s="158" t="s">
        <v>200</v>
      </c>
      <c r="C6" s="158"/>
      <c r="D6" s="158">
        <v>24.0</v>
      </c>
      <c r="E6" s="158">
        <f t="shared" si="1"/>
        <v>32</v>
      </c>
    </row>
    <row r="7">
      <c r="A7" s="151">
        <v>44979.0</v>
      </c>
      <c r="B7" s="158" t="s">
        <v>200</v>
      </c>
      <c r="C7" s="158"/>
      <c r="D7" s="158">
        <v>32.0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74">
        <f>E12/24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279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144.0</v>
      </c>
    </row>
    <row r="5">
      <c r="A5" s="151">
        <v>44943.0</v>
      </c>
      <c r="B5" s="158" t="s">
        <v>206</v>
      </c>
      <c r="C5" s="158"/>
      <c r="D5" s="158">
        <v>2.0</v>
      </c>
      <c r="E5" s="158">
        <f t="shared" ref="E5:E12" si="1">E4-D5+C5</f>
        <v>142</v>
      </c>
    </row>
    <row r="6">
      <c r="A6" s="151">
        <v>44945.0</v>
      </c>
      <c r="B6" s="158" t="s">
        <v>200</v>
      </c>
      <c r="C6" s="158"/>
      <c r="D6" s="158">
        <v>36.0</v>
      </c>
      <c r="E6" s="158">
        <f t="shared" si="1"/>
        <v>106</v>
      </c>
    </row>
    <row r="7">
      <c r="A7" s="151">
        <v>44979.0</v>
      </c>
      <c r="B7" s="158" t="s">
        <v>200</v>
      </c>
      <c r="C7" s="158"/>
      <c r="D7" s="158">
        <v>29.0</v>
      </c>
      <c r="E7" s="158">
        <f t="shared" si="1"/>
        <v>77</v>
      </c>
    </row>
    <row r="8">
      <c r="A8" s="151"/>
      <c r="B8" s="158"/>
      <c r="C8" s="158"/>
      <c r="D8" s="161">
        <v>77.0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D13:F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12.0</v>
      </c>
    </row>
    <row r="5">
      <c r="A5" s="151">
        <v>44979.0</v>
      </c>
      <c r="B5" s="158" t="s">
        <v>200</v>
      </c>
      <c r="C5" s="158"/>
      <c r="D5" s="158">
        <v>8.0</v>
      </c>
      <c r="E5" s="158">
        <f t="shared" ref="E5:E8" si="1">E4-D5+C5</f>
        <v>4</v>
      </c>
    </row>
    <row r="6">
      <c r="A6" s="151">
        <v>44987.0</v>
      </c>
      <c r="B6" s="158" t="s">
        <v>281</v>
      </c>
      <c r="C6" s="158"/>
      <c r="D6" s="158">
        <v>4.0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1.0</v>
      </c>
    </row>
    <row r="5">
      <c r="A5" s="151">
        <v>44943.0</v>
      </c>
      <c r="B5" s="158" t="s">
        <v>220</v>
      </c>
      <c r="C5" s="158"/>
      <c r="D5" s="158">
        <v>1.0</v>
      </c>
      <c r="E5" s="158">
        <f t="shared" ref="E5:E7" si="1">E4-D5+C5</f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E8" s="158">
        <f>E7/24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283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40.0</v>
      </c>
    </row>
    <row r="5">
      <c r="A5" s="151">
        <v>44930.0</v>
      </c>
      <c r="B5" s="158" t="s">
        <v>200</v>
      </c>
      <c r="C5" s="158"/>
      <c r="D5" s="158">
        <v>21.0</v>
      </c>
      <c r="E5" s="158">
        <f t="shared" ref="E5:E8" si="1">E4-D5+C5</f>
        <v>19</v>
      </c>
    </row>
    <row r="6">
      <c r="A6" s="151">
        <v>44932.0</v>
      </c>
      <c r="B6" s="158" t="s">
        <v>200</v>
      </c>
      <c r="C6" s="158"/>
      <c r="D6" s="158">
        <v>12.0</v>
      </c>
      <c r="E6" s="158">
        <f t="shared" si="1"/>
        <v>7</v>
      </c>
    </row>
    <row r="7">
      <c r="A7" s="151">
        <v>45055.0</v>
      </c>
      <c r="B7" s="158" t="s">
        <v>200</v>
      </c>
      <c r="C7" s="158"/>
      <c r="D7" s="158">
        <v>7.0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284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22.0</v>
      </c>
    </row>
    <row r="5">
      <c r="A5" s="151">
        <v>44926.0</v>
      </c>
      <c r="B5" s="158" t="s">
        <v>275</v>
      </c>
      <c r="C5" s="158"/>
      <c r="D5" s="158">
        <v>6.0</v>
      </c>
      <c r="E5" s="158">
        <f t="shared" ref="E5:E7" si="1">E4-D5+C5</f>
        <v>16</v>
      </c>
    </row>
    <row r="6">
      <c r="A6" s="151"/>
      <c r="B6" s="158"/>
      <c r="C6" s="158"/>
      <c r="D6" s="161">
        <v>16.0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E8" s="1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324.0</v>
      </c>
    </row>
    <row r="5">
      <c r="A5" s="151">
        <v>44929.0</v>
      </c>
      <c r="B5" s="152" t="s">
        <v>230</v>
      </c>
      <c r="C5" s="158"/>
      <c r="D5" s="158">
        <v>36.0</v>
      </c>
      <c r="E5" s="158">
        <f t="shared" ref="E5:E15" si="1">E4-D5+C5</f>
        <v>288</v>
      </c>
    </row>
    <row r="6">
      <c r="A6" s="151">
        <v>44936.0</v>
      </c>
      <c r="B6" s="158" t="s">
        <v>288</v>
      </c>
      <c r="C6" s="158"/>
      <c r="D6" s="158">
        <v>36.0</v>
      </c>
      <c r="E6" s="158">
        <f t="shared" si="1"/>
        <v>252</v>
      </c>
    </row>
    <row r="7">
      <c r="A7" s="151">
        <v>44940.0</v>
      </c>
      <c r="B7" s="158" t="s">
        <v>206</v>
      </c>
      <c r="C7" s="158"/>
      <c r="D7" s="158">
        <v>30.0</v>
      </c>
      <c r="E7" s="158">
        <f t="shared" si="1"/>
        <v>222</v>
      </c>
    </row>
    <row r="8">
      <c r="A8" s="151">
        <v>44966.0</v>
      </c>
      <c r="B8" s="158" t="s">
        <v>289</v>
      </c>
      <c r="C8" s="158"/>
      <c r="D8" s="158">
        <v>36.0</v>
      </c>
      <c r="E8" s="158">
        <f t="shared" si="1"/>
        <v>186</v>
      </c>
    </row>
    <row r="9">
      <c r="A9" s="151">
        <v>44966.0</v>
      </c>
      <c r="B9" s="158" t="s">
        <v>290</v>
      </c>
      <c r="C9" s="158"/>
      <c r="D9" s="158">
        <v>72.0</v>
      </c>
      <c r="E9" s="158">
        <f t="shared" si="1"/>
        <v>114</v>
      </c>
    </row>
    <row r="10">
      <c r="A10" s="151">
        <v>44966.0</v>
      </c>
      <c r="B10" s="158" t="s">
        <v>291</v>
      </c>
      <c r="C10" s="158"/>
      <c r="D10" s="158">
        <v>36.0</v>
      </c>
      <c r="E10" s="158">
        <f t="shared" si="1"/>
        <v>78</v>
      </c>
    </row>
    <row r="11">
      <c r="A11" s="151">
        <v>45051.0</v>
      </c>
      <c r="B11" s="158" t="s">
        <v>292</v>
      </c>
      <c r="C11" s="158"/>
      <c r="D11" s="158">
        <v>36.0</v>
      </c>
      <c r="E11" s="158">
        <f t="shared" si="1"/>
        <v>42</v>
      </c>
    </row>
    <row r="12">
      <c r="A12" s="151">
        <v>45069.0</v>
      </c>
      <c r="B12" s="159" t="s">
        <v>205</v>
      </c>
      <c r="C12" s="158"/>
      <c r="D12" s="158">
        <v>36.0</v>
      </c>
      <c r="E12" s="158">
        <f t="shared" si="1"/>
        <v>6</v>
      </c>
    </row>
    <row r="13">
      <c r="A13" s="151"/>
      <c r="B13" s="158"/>
      <c r="C13" s="158"/>
      <c r="D13" s="161">
        <v>6.0</v>
      </c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A15" s="151"/>
      <c r="B15" s="158"/>
      <c r="C15" s="158"/>
      <c r="D15" s="158"/>
      <c r="E15" s="158">
        <f t="shared" si="1"/>
        <v>0</v>
      </c>
    </row>
    <row r="16">
      <c r="E16" s="158">
        <f>E15/36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264.0</v>
      </c>
    </row>
    <row r="5">
      <c r="A5" s="151">
        <v>44940.0</v>
      </c>
      <c r="B5" s="158" t="s">
        <v>206</v>
      </c>
      <c r="C5" s="158"/>
      <c r="D5" s="158">
        <v>6.0</v>
      </c>
      <c r="E5" s="158">
        <f t="shared" ref="E5:E14" si="1">E4-D5+C5</f>
        <v>258</v>
      </c>
    </row>
    <row r="6">
      <c r="A6" s="151">
        <v>44966.0</v>
      </c>
      <c r="B6" s="158" t="s">
        <v>289</v>
      </c>
      <c r="C6" s="158"/>
      <c r="D6" s="158">
        <v>24.0</v>
      </c>
      <c r="E6" s="158">
        <f t="shared" si="1"/>
        <v>234</v>
      </c>
    </row>
    <row r="7">
      <c r="A7" s="151">
        <v>44966.0</v>
      </c>
      <c r="B7" s="158" t="s">
        <v>290</v>
      </c>
      <c r="C7" s="158"/>
      <c r="D7" s="158">
        <v>24.0</v>
      </c>
      <c r="E7" s="158">
        <f t="shared" si="1"/>
        <v>210</v>
      </c>
    </row>
    <row r="8">
      <c r="A8" s="151">
        <v>45005.0</v>
      </c>
      <c r="B8" s="158" t="s">
        <v>213</v>
      </c>
      <c r="C8" s="158"/>
      <c r="D8" s="158">
        <v>24.0</v>
      </c>
      <c r="E8" s="158">
        <f t="shared" si="1"/>
        <v>186</v>
      </c>
    </row>
    <row r="9">
      <c r="A9" s="151">
        <v>45051.0</v>
      </c>
      <c r="B9" s="158" t="s">
        <v>294</v>
      </c>
      <c r="C9" s="158"/>
      <c r="D9" s="158">
        <v>24.0</v>
      </c>
      <c r="E9" s="158">
        <f t="shared" si="1"/>
        <v>162</v>
      </c>
    </row>
    <row r="10">
      <c r="A10" s="151">
        <v>45051.0</v>
      </c>
      <c r="B10" s="158" t="s">
        <v>292</v>
      </c>
      <c r="C10" s="158"/>
      <c r="D10" s="158">
        <v>24.0</v>
      </c>
      <c r="E10" s="158">
        <f t="shared" si="1"/>
        <v>138</v>
      </c>
    </row>
    <row r="11">
      <c r="A11" s="151">
        <v>45069.0</v>
      </c>
      <c r="B11" s="159" t="s">
        <v>205</v>
      </c>
      <c r="C11" s="158"/>
      <c r="D11" s="158">
        <v>24.0</v>
      </c>
      <c r="E11" s="158">
        <f t="shared" si="1"/>
        <v>114</v>
      </c>
    </row>
    <row r="12">
      <c r="A12" s="151"/>
      <c r="B12" s="158"/>
      <c r="C12" s="158"/>
      <c r="D12" s="161">
        <v>114.0</v>
      </c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287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0.0</v>
      </c>
    </row>
    <row r="5">
      <c r="A5" s="151">
        <v>44949.0</v>
      </c>
      <c r="B5" s="158" t="s">
        <v>204</v>
      </c>
      <c r="C5" s="158">
        <v>456.0</v>
      </c>
      <c r="D5" s="158"/>
      <c r="E5" s="158">
        <f t="shared" ref="E5:E13" si="1">E4-D5+C5</f>
        <v>456</v>
      </c>
    </row>
    <row r="6">
      <c r="A6" s="151">
        <v>44622.0</v>
      </c>
      <c r="B6" s="158" t="s">
        <v>230</v>
      </c>
      <c r="C6" s="158"/>
      <c r="D6" s="158">
        <v>24.0</v>
      </c>
      <c r="E6" s="158">
        <f t="shared" si="1"/>
        <v>432</v>
      </c>
    </row>
    <row r="7">
      <c r="A7" s="151">
        <v>44634.0</v>
      </c>
      <c r="B7" s="158" t="s">
        <v>263</v>
      </c>
      <c r="C7" s="158"/>
      <c r="D7" s="158">
        <v>96.0</v>
      </c>
      <c r="E7" s="158">
        <f t="shared" si="1"/>
        <v>336</v>
      </c>
    </row>
    <row r="8">
      <c r="A8" s="151">
        <v>44708.0</v>
      </c>
      <c r="B8" s="158" t="s">
        <v>293</v>
      </c>
      <c r="C8" s="158"/>
      <c r="D8" s="158">
        <v>125.0</v>
      </c>
      <c r="E8" s="158">
        <f t="shared" si="1"/>
        <v>211</v>
      </c>
    </row>
    <row r="9">
      <c r="A9" s="151"/>
      <c r="B9" s="158"/>
      <c r="C9" s="158"/>
      <c r="D9" s="161">
        <v>211.0</v>
      </c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295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0.0</v>
      </c>
    </row>
    <row r="5">
      <c r="A5" s="151">
        <v>44949.0</v>
      </c>
      <c r="B5" s="158" t="s">
        <v>204</v>
      </c>
      <c r="C5" s="158">
        <v>96.0</v>
      </c>
      <c r="D5" s="158"/>
      <c r="E5" s="158">
        <f t="shared" ref="E5:E10" si="1">E4-D5+C5</f>
        <v>96</v>
      </c>
    </row>
    <row r="6">
      <c r="A6" s="151">
        <v>45069.0</v>
      </c>
      <c r="B6" s="159" t="s">
        <v>205</v>
      </c>
      <c r="C6" s="158"/>
      <c r="D6" s="158">
        <v>24.0</v>
      </c>
      <c r="E6" s="158">
        <f t="shared" si="1"/>
        <v>72</v>
      </c>
    </row>
    <row r="7">
      <c r="A7" s="151">
        <v>45070.0</v>
      </c>
      <c r="B7" s="158" t="s">
        <v>200</v>
      </c>
      <c r="C7" s="158"/>
      <c r="D7" s="158">
        <v>2.0</v>
      </c>
      <c r="E7" s="158">
        <f t="shared" si="1"/>
        <v>70</v>
      </c>
    </row>
    <row r="8">
      <c r="A8" s="151">
        <v>44708.0</v>
      </c>
      <c r="B8" s="158" t="s">
        <v>293</v>
      </c>
      <c r="C8" s="158"/>
      <c r="D8" s="158">
        <v>70.0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E11" s="158">
        <f>E10/24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296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0.0</v>
      </c>
    </row>
    <row r="5">
      <c r="A5" s="151">
        <v>44949.0</v>
      </c>
      <c r="B5" s="158" t="s">
        <v>204</v>
      </c>
      <c r="C5" s="158">
        <v>408.0</v>
      </c>
      <c r="D5" s="158"/>
      <c r="E5" s="158">
        <f t="shared" ref="E5:E10" si="1">E4-D5+C5</f>
        <v>408</v>
      </c>
    </row>
    <row r="6">
      <c r="A6" s="151">
        <v>44996.0</v>
      </c>
      <c r="B6" s="158" t="s">
        <v>239</v>
      </c>
      <c r="C6" s="158"/>
      <c r="D6" s="158">
        <v>192.0</v>
      </c>
      <c r="E6" s="158">
        <f t="shared" si="1"/>
        <v>216</v>
      </c>
    </row>
    <row r="7">
      <c r="A7" s="151">
        <v>45112.0</v>
      </c>
      <c r="B7" s="158" t="s">
        <v>298</v>
      </c>
      <c r="C7" s="158"/>
      <c r="D7" s="158">
        <v>48.0</v>
      </c>
      <c r="E7" s="158">
        <f t="shared" si="1"/>
        <v>168</v>
      </c>
    </row>
    <row r="8">
      <c r="A8" s="151">
        <v>45167.0</v>
      </c>
      <c r="B8" s="158" t="s">
        <v>299</v>
      </c>
      <c r="C8" s="158"/>
      <c r="D8" s="161">
        <v>168.0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E11" s="158">
        <f>E10/24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297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0.0</v>
      </c>
    </row>
    <row r="5">
      <c r="A5" s="151">
        <v>44949.0</v>
      </c>
      <c r="B5" s="158" t="s">
        <v>204</v>
      </c>
      <c r="C5" s="158">
        <v>216.0</v>
      </c>
      <c r="D5" s="158"/>
      <c r="E5" s="158">
        <f t="shared" ref="E5:E13" si="1">E4-D5+C5</f>
        <v>216</v>
      </c>
    </row>
    <row r="6">
      <c r="A6" s="151">
        <v>44958.0</v>
      </c>
      <c r="B6" s="152" t="s">
        <v>200</v>
      </c>
      <c r="C6" s="152"/>
      <c r="D6" s="152">
        <v>24.0</v>
      </c>
      <c r="E6" s="152">
        <f t="shared" si="1"/>
        <v>192</v>
      </c>
    </row>
    <row r="7">
      <c r="A7" s="151">
        <v>44958.0</v>
      </c>
      <c r="B7" s="152" t="s">
        <v>230</v>
      </c>
      <c r="C7" s="152"/>
      <c r="D7" s="152">
        <v>24.0</v>
      </c>
      <c r="E7" s="152">
        <f t="shared" si="1"/>
        <v>168</v>
      </c>
    </row>
    <row r="8">
      <c r="A8" s="151">
        <v>44977.0</v>
      </c>
      <c r="B8" s="152" t="s">
        <v>230</v>
      </c>
      <c r="C8" s="152"/>
      <c r="D8" s="152">
        <v>24.0</v>
      </c>
      <c r="E8" s="152">
        <f t="shared" si="1"/>
        <v>144</v>
      </c>
    </row>
    <row r="9">
      <c r="A9" s="175"/>
      <c r="B9" s="152"/>
      <c r="C9" s="152"/>
      <c r="D9" s="163">
        <v>144.0</v>
      </c>
      <c r="E9" s="152">
        <f t="shared" si="1"/>
        <v>0</v>
      </c>
    </row>
    <row r="10">
      <c r="A10" s="175"/>
      <c r="B10" s="152"/>
      <c r="C10" s="152"/>
      <c r="D10" s="152"/>
      <c r="E10" s="152">
        <f t="shared" si="1"/>
        <v>0</v>
      </c>
    </row>
    <row r="11">
      <c r="A11" s="175"/>
      <c r="B11" s="152"/>
      <c r="C11" s="152"/>
      <c r="D11" s="152"/>
      <c r="E11" s="152">
        <f t="shared" si="1"/>
        <v>0</v>
      </c>
    </row>
    <row r="12">
      <c r="A12" s="175"/>
      <c r="B12" s="152"/>
      <c r="C12" s="152"/>
      <c r="D12" s="152"/>
      <c r="E12" s="152">
        <f t="shared" si="1"/>
        <v>0</v>
      </c>
    </row>
    <row r="13">
      <c r="A13" s="151"/>
      <c r="B13" s="158"/>
      <c r="C13" s="158"/>
      <c r="D13" s="158"/>
      <c r="E13" s="152">
        <f t="shared" si="1"/>
        <v>0</v>
      </c>
    </row>
    <row r="14">
      <c r="E14" s="158">
        <f>E13/24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0.0</v>
      </c>
    </row>
    <row r="5">
      <c r="A5" s="151">
        <v>44949.0</v>
      </c>
      <c r="B5" s="158" t="s">
        <v>204</v>
      </c>
      <c r="C5" s="158">
        <v>144.0</v>
      </c>
      <c r="D5" s="158"/>
      <c r="E5" s="158">
        <f t="shared" ref="E5:E6" si="1">E4-D5+C5</f>
        <v>144</v>
      </c>
    </row>
    <row r="6">
      <c r="A6" s="151"/>
      <c r="B6" s="158"/>
      <c r="C6" s="158"/>
      <c r="D6" s="161">
        <v>144.0</v>
      </c>
      <c r="E6" s="158">
        <f t="shared" si="1"/>
        <v>0</v>
      </c>
    </row>
    <row r="7">
      <c r="E7" s="158">
        <f>E6/24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301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4.0</v>
      </c>
    </row>
    <row r="5">
      <c r="A5" s="151">
        <v>44943.0</v>
      </c>
      <c r="B5" s="158" t="s">
        <v>206</v>
      </c>
      <c r="C5" s="158"/>
      <c r="D5" s="158">
        <v>4.0</v>
      </c>
      <c r="E5" s="158">
        <f t="shared" ref="E5:E8" si="1">E4-D5+C5</f>
        <v>0</v>
      </c>
    </row>
    <row r="6">
      <c r="A6" s="151">
        <v>44949.0</v>
      </c>
      <c r="B6" s="158" t="s">
        <v>204</v>
      </c>
      <c r="C6" s="158">
        <v>72.0</v>
      </c>
      <c r="D6" s="158"/>
      <c r="E6" s="158">
        <f t="shared" si="1"/>
        <v>72</v>
      </c>
    </row>
    <row r="7">
      <c r="A7" s="151">
        <v>44984.0</v>
      </c>
      <c r="B7" s="158" t="s">
        <v>211</v>
      </c>
      <c r="C7" s="158"/>
      <c r="D7" s="158">
        <v>72.0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12.0</v>
      </c>
    </row>
    <row r="5">
      <c r="A5" s="151">
        <v>44929.0</v>
      </c>
      <c r="B5" s="158" t="s">
        <v>230</v>
      </c>
      <c r="C5" s="158"/>
      <c r="D5" s="158">
        <v>12.0</v>
      </c>
      <c r="E5" s="158">
        <f t="shared" ref="E5:E8" si="1">E4-D5+C5</f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303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31.0</v>
      </c>
    </row>
    <row r="5">
      <c r="A5" s="151">
        <v>44929.0</v>
      </c>
      <c r="B5" s="158" t="s">
        <v>230</v>
      </c>
      <c r="C5" s="158"/>
      <c r="D5" s="158">
        <v>12.0</v>
      </c>
      <c r="E5" s="158">
        <f t="shared" ref="E5:E7" si="1">E4-D5+C5</f>
        <v>19</v>
      </c>
    </row>
    <row r="6">
      <c r="A6" s="151">
        <v>45061.0</v>
      </c>
      <c r="B6" s="158" t="s">
        <v>239</v>
      </c>
      <c r="C6" s="158"/>
      <c r="D6" s="158">
        <v>19.0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E8" s="158">
        <f>E7/24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304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14.0</v>
      </c>
    </row>
    <row r="5">
      <c r="A5" s="151">
        <v>44929.0</v>
      </c>
      <c r="B5" s="158" t="s">
        <v>230</v>
      </c>
      <c r="C5" s="158"/>
      <c r="D5" s="158">
        <v>12.0</v>
      </c>
      <c r="E5" s="158">
        <f t="shared" ref="E5:E14" si="1">E4-D5+C5</f>
        <v>2</v>
      </c>
    </row>
    <row r="6">
      <c r="A6" s="151">
        <v>44949.0</v>
      </c>
      <c r="B6" s="158" t="s">
        <v>204</v>
      </c>
      <c r="C6" s="158">
        <v>120.0</v>
      </c>
      <c r="D6" s="158"/>
      <c r="E6" s="158">
        <f t="shared" si="1"/>
        <v>122</v>
      </c>
    </row>
    <row r="7">
      <c r="A7" s="151">
        <v>44965.0</v>
      </c>
      <c r="B7" s="158" t="s">
        <v>239</v>
      </c>
      <c r="C7" s="158"/>
      <c r="D7" s="158">
        <v>72.0</v>
      </c>
      <c r="E7" s="158">
        <f t="shared" si="1"/>
        <v>50</v>
      </c>
    </row>
    <row r="8">
      <c r="A8" s="151">
        <v>45061.0</v>
      </c>
      <c r="B8" s="158" t="s">
        <v>239</v>
      </c>
      <c r="C8" s="158"/>
      <c r="D8" s="158">
        <v>50.0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26" width="9.14"/>
  </cols>
  <sheetData>
    <row r="1">
      <c r="A1" s="166" t="s">
        <v>305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39.0</v>
      </c>
    </row>
    <row r="5">
      <c r="A5" s="151">
        <v>44929.0</v>
      </c>
      <c r="B5" s="158" t="s">
        <v>230</v>
      </c>
      <c r="C5" s="158"/>
      <c r="D5" s="158">
        <v>12.0</v>
      </c>
      <c r="E5" s="158">
        <f t="shared" ref="E5:E13" si="1">E4-D5+C5</f>
        <v>27</v>
      </c>
    </row>
    <row r="6">
      <c r="A6" s="151">
        <v>44936.0</v>
      </c>
      <c r="B6" s="158" t="s">
        <v>200</v>
      </c>
      <c r="C6" s="158"/>
      <c r="D6" s="158">
        <v>24.0</v>
      </c>
      <c r="E6" s="158">
        <f t="shared" si="1"/>
        <v>3</v>
      </c>
    </row>
    <row r="7">
      <c r="A7" s="151">
        <v>44943.0</v>
      </c>
      <c r="B7" s="158" t="s">
        <v>206</v>
      </c>
      <c r="C7" s="158"/>
      <c r="D7" s="158">
        <v>3.0</v>
      </c>
      <c r="E7" s="158">
        <f t="shared" si="1"/>
        <v>0</v>
      </c>
    </row>
    <row r="8">
      <c r="A8" s="151">
        <v>44949.0</v>
      </c>
      <c r="B8" s="158" t="s">
        <v>204</v>
      </c>
      <c r="C8" s="158">
        <v>168.0</v>
      </c>
      <c r="D8" s="158"/>
      <c r="E8" s="158">
        <f t="shared" si="1"/>
        <v>168</v>
      </c>
    </row>
    <row r="9">
      <c r="A9" s="151">
        <v>45061.0</v>
      </c>
      <c r="B9" s="158" t="s">
        <v>239</v>
      </c>
      <c r="C9" s="158"/>
      <c r="D9" s="158">
        <v>27.0</v>
      </c>
      <c r="E9" s="158">
        <f t="shared" si="1"/>
        <v>141</v>
      </c>
    </row>
    <row r="10">
      <c r="A10" s="151">
        <v>44708.0</v>
      </c>
      <c r="B10" s="158" t="s">
        <v>293</v>
      </c>
      <c r="C10" s="158"/>
      <c r="D10" s="158">
        <v>141.0</v>
      </c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>
      <c r="A1" s="176" t="s">
        <v>306</v>
      </c>
      <c r="B1" s="167"/>
      <c r="C1" s="167"/>
      <c r="D1" s="167"/>
      <c r="E1" s="168"/>
    </row>
    <row r="2" ht="16.5" customHeight="1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77"/>
      <c r="B4" s="158"/>
      <c r="C4" s="158"/>
      <c r="D4" s="158"/>
      <c r="E4" s="158">
        <v>924.0</v>
      </c>
    </row>
    <row r="5">
      <c r="A5" s="151">
        <v>45005.0</v>
      </c>
      <c r="B5" s="158" t="s">
        <v>213</v>
      </c>
      <c r="C5" s="158"/>
      <c r="D5" s="158">
        <v>144.0</v>
      </c>
      <c r="E5" s="158">
        <f t="shared" ref="E5:E16" si="1">E4-D5+C5</f>
        <v>780</v>
      </c>
    </row>
    <row r="6">
      <c r="A6" s="151">
        <v>45070.0</v>
      </c>
      <c r="B6" s="158" t="s">
        <v>200</v>
      </c>
      <c r="C6" s="158"/>
      <c r="D6" s="158">
        <v>65.0</v>
      </c>
      <c r="E6" s="158">
        <f t="shared" si="1"/>
        <v>715</v>
      </c>
    </row>
    <row r="7">
      <c r="A7" s="151">
        <v>45083.0</v>
      </c>
      <c r="B7" s="158" t="s">
        <v>200</v>
      </c>
      <c r="C7" s="158"/>
      <c r="D7" s="158">
        <v>75.0</v>
      </c>
      <c r="E7" s="158">
        <f t="shared" si="1"/>
        <v>640</v>
      </c>
    </row>
    <row r="8">
      <c r="A8" s="151">
        <v>45091.0</v>
      </c>
      <c r="B8" s="158" t="s">
        <v>200</v>
      </c>
      <c r="C8" s="158"/>
      <c r="D8" s="158">
        <v>20.0</v>
      </c>
      <c r="E8" s="158">
        <f t="shared" si="1"/>
        <v>620</v>
      </c>
    </row>
    <row r="9">
      <c r="A9" s="151">
        <v>45093.0</v>
      </c>
      <c r="B9" s="158" t="s">
        <v>309</v>
      </c>
      <c r="C9" s="158"/>
      <c r="D9" s="158">
        <v>360.0</v>
      </c>
      <c r="E9" s="158">
        <f t="shared" si="1"/>
        <v>260</v>
      </c>
    </row>
    <row r="10">
      <c r="A10" s="151">
        <v>45103.0</v>
      </c>
      <c r="B10" s="158" t="s">
        <v>200</v>
      </c>
      <c r="C10" s="158"/>
      <c r="D10" s="158">
        <v>24.0</v>
      </c>
      <c r="E10" s="158">
        <f t="shared" si="1"/>
        <v>236</v>
      </c>
    </row>
    <row r="11">
      <c r="A11" s="151">
        <v>45111.0</v>
      </c>
      <c r="B11" s="158" t="s">
        <v>40</v>
      </c>
      <c r="C11" s="158"/>
      <c r="D11" s="158">
        <v>24.0</v>
      </c>
      <c r="E11" s="158">
        <f t="shared" si="1"/>
        <v>212</v>
      </c>
    </row>
    <row r="12">
      <c r="A12" s="151">
        <v>45112.0</v>
      </c>
      <c r="B12" s="158" t="s">
        <v>310</v>
      </c>
      <c r="C12" s="158"/>
      <c r="D12" s="158">
        <v>144.0</v>
      </c>
      <c r="E12" s="158">
        <f t="shared" si="1"/>
        <v>68</v>
      </c>
    </row>
    <row r="13">
      <c r="A13" s="151">
        <v>45120.0</v>
      </c>
      <c r="B13" s="158" t="s">
        <v>311</v>
      </c>
      <c r="C13" s="158"/>
      <c r="D13" s="158">
        <v>68.0</v>
      </c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A15" s="151"/>
      <c r="B15" s="158"/>
      <c r="C15" s="158"/>
      <c r="D15" s="158"/>
      <c r="E15" s="158">
        <f t="shared" si="1"/>
        <v>0</v>
      </c>
    </row>
    <row r="16">
      <c r="A16" s="151"/>
      <c r="B16" s="158"/>
      <c r="C16" s="158"/>
      <c r="D16" s="158"/>
      <c r="E16" s="158">
        <f t="shared" si="1"/>
        <v>0</v>
      </c>
    </row>
    <row r="17">
      <c r="E17" s="158">
        <f>E16/144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78" t="s">
        <v>307</v>
      </c>
      <c r="B1" s="179"/>
      <c r="C1" s="179"/>
      <c r="D1" s="180"/>
      <c r="E1" s="181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44881.0</v>
      </c>
      <c r="B3" s="182" t="s">
        <v>307</v>
      </c>
      <c r="C3" s="183">
        <v>144.0</v>
      </c>
      <c r="D3" s="184"/>
      <c r="E3" s="183">
        <f>C3</f>
        <v>144</v>
      </c>
    </row>
    <row r="4">
      <c r="A4" s="177">
        <v>44881.0</v>
      </c>
      <c r="B4" s="158" t="s">
        <v>308</v>
      </c>
      <c r="C4" s="158"/>
      <c r="D4" s="158">
        <v>30.0</v>
      </c>
      <c r="E4" s="158">
        <f t="shared" ref="E4:E13" si="1">E3-D4+C4</f>
        <v>114</v>
      </c>
    </row>
    <row r="5">
      <c r="A5" s="177">
        <v>44690.0</v>
      </c>
      <c r="B5" s="158" t="s">
        <v>205</v>
      </c>
      <c r="C5" s="158"/>
      <c r="D5" s="158">
        <v>114.0</v>
      </c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312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>
      <c r="A3" s="177"/>
      <c r="B3" s="158"/>
      <c r="C3" s="158"/>
      <c r="D3" s="158"/>
      <c r="E3" s="158">
        <v>48.0</v>
      </c>
    </row>
    <row r="4">
      <c r="A4" s="177">
        <v>45030.0</v>
      </c>
      <c r="B4" s="158" t="s">
        <v>200</v>
      </c>
      <c r="C4" s="158"/>
      <c r="D4" s="158">
        <v>48.0</v>
      </c>
      <c r="E4" s="158">
        <f t="shared" ref="E4:E12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53.25" customHeight="1">
      <c r="A1" s="185" t="s">
        <v>313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>
      <c r="A3" s="177"/>
      <c r="B3" s="158"/>
      <c r="C3" s="158"/>
      <c r="D3" s="158"/>
      <c r="E3" s="158">
        <v>96.0</v>
      </c>
    </row>
    <row r="4">
      <c r="A4" s="177">
        <v>45030.0</v>
      </c>
      <c r="B4" s="158" t="s">
        <v>200</v>
      </c>
      <c r="C4" s="158"/>
      <c r="D4" s="158">
        <v>96.0</v>
      </c>
      <c r="E4" s="158">
        <f t="shared" ref="E4:E12" si="1">E3-D4+C4</f>
        <v>0</v>
      </c>
    </row>
    <row r="5">
      <c r="A5" s="177">
        <v>45072.0</v>
      </c>
      <c r="B5" s="158" t="s">
        <v>314</v>
      </c>
      <c r="C5" s="158">
        <v>288.0</v>
      </c>
      <c r="D5" s="158"/>
      <c r="E5" s="158">
        <f t="shared" si="1"/>
        <v>288</v>
      </c>
    </row>
    <row r="6">
      <c r="A6" s="177">
        <v>45098.0</v>
      </c>
      <c r="B6" s="158" t="s">
        <v>240</v>
      </c>
      <c r="C6" s="158"/>
      <c r="D6" s="158">
        <v>288.0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315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>
      <c r="A3" s="177"/>
      <c r="B3" s="158"/>
      <c r="C3" s="158"/>
      <c r="D3" s="158"/>
      <c r="E3" s="158">
        <v>90.0</v>
      </c>
    </row>
    <row r="4">
      <c r="A4" s="177">
        <v>45031.0</v>
      </c>
      <c r="B4" s="158" t="s">
        <v>263</v>
      </c>
      <c r="C4" s="158"/>
      <c r="D4" s="158">
        <v>90.0</v>
      </c>
      <c r="E4" s="158">
        <f t="shared" ref="E4:E12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316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/>
      <c r="B3" s="182"/>
      <c r="C3" s="183"/>
      <c r="D3" s="184"/>
      <c r="E3" s="183">
        <v>72.0</v>
      </c>
    </row>
    <row r="4">
      <c r="A4" s="177">
        <v>44912.0</v>
      </c>
      <c r="B4" s="182" t="s">
        <v>278</v>
      </c>
      <c r="C4" s="183"/>
      <c r="D4" s="184">
        <v>72.0</v>
      </c>
      <c r="E4" s="183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317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>
      <c r="A3" s="177"/>
      <c r="B3" s="158"/>
      <c r="C3" s="158"/>
      <c r="D3" s="158"/>
      <c r="E3" s="158">
        <v>66.0</v>
      </c>
    </row>
    <row r="4">
      <c r="A4" s="177">
        <v>45031.0</v>
      </c>
      <c r="B4" s="158" t="s">
        <v>263</v>
      </c>
      <c r="C4" s="158"/>
      <c r="D4" s="158">
        <v>54.0</v>
      </c>
      <c r="E4" s="158">
        <f t="shared" ref="E4:E12" si="1">E3-D4+C4</f>
        <v>12</v>
      </c>
    </row>
    <row r="5">
      <c r="A5" s="177">
        <v>45036.0</v>
      </c>
      <c r="B5" s="158" t="s">
        <v>206</v>
      </c>
      <c r="C5" s="158"/>
      <c r="D5" s="158">
        <v>12.0</v>
      </c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318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44894.0</v>
      </c>
      <c r="B3" s="182" t="s">
        <v>320</v>
      </c>
      <c r="C3" s="183">
        <f>144*2</f>
        <v>288</v>
      </c>
      <c r="D3" s="184"/>
      <c r="E3" s="183">
        <f>C3</f>
        <v>288</v>
      </c>
    </row>
    <row r="4">
      <c r="A4" s="177">
        <v>44894.0</v>
      </c>
      <c r="B4" s="158" t="s">
        <v>200</v>
      </c>
      <c r="C4" s="158"/>
      <c r="D4" s="158">
        <v>144.0</v>
      </c>
      <c r="E4" s="158">
        <f t="shared" ref="E4:E13" si="1">E3-D4+C4</f>
        <v>144</v>
      </c>
    </row>
    <row r="5">
      <c r="A5" s="177">
        <v>45051.0</v>
      </c>
      <c r="B5" s="158" t="s">
        <v>294</v>
      </c>
      <c r="C5" s="158"/>
      <c r="D5" s="158">
        <v>144.0</v>
      </c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319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>
      <c r="A3" s="177"/>
      <c r="B3" s="158"/>
      <c r="C3" s="158"/>
      <c r="D3" s="158"/>
      <c r="E3" s="158">
        <v>102.0</v>
      </c>
    </row>
    <row r="4">
      <c r="A4" s="177">
        <v>45036.0</v>
      </c>
      <c r="B4" s="158" t="s">
        <v>206</v>
      </c>
      <c r="C4" s="158"/>
      <c r="D4" s="158">
        <v>92.0</v>
      </c>
      <c r="E4" s="158">
        <f t="shared" ref="E4:E12" si="1">E3-D4+C4</f>
        <v>10</v>
      </c>
    </row>
    <row r="5">
      <c r="A5" s="177">
        <v>44690.0</v>
      </c>
      <c r="B5" s="158" t="s">
        <v>205</v>
      </c>
      <c r="C5" s="158"/>
      <c r="D5" s="158">
        <v>10.0</v>
      </c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322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44881.0</v>
      </c>
      <c r="B3" s="182" t="s">
        <v>322</v>
      </c>
      <c r="C3" s="183">
        <v>144.0</v>
      </c>
      <c r="D3" s="184"/>
      <c r="E3" s="183">
        <f>C3</f>
        <v>144</v>
      </c>
    </row>
    <row r="4">
      <c r="A4" s="177">
        <v>44881.0</v>
      </c>
      <c r="B4" s="158" t="s">
        <v>308</v>
      </c>
      <c r="C4" s="158"/>
      <c r="D4" s="158">
        <v>36.0</v>
      </c>
      <c r="E4" s="158">
        <f t="shared" ref="E4:E13" si="1">E3-D4+C4</f>
        <v>108</v>
      </c>
    </row>
    <row r="5">
      <c r="A5" s="177">
        <v>44690.0</v>
      </c>
      <c r="B5" s="158" t="s">
        <v>205</v>
      </c>
      <c r="C5" s="158"/>
      <c r="D5" s="158">
        <v>56.0</v>
      </c>
      <c r="E5" s="158">
        <f t="shared" si="1"/>
        <v>52</v>
      </c>
    </row>
    <row r="6">
      <c r="A6" s="177">
        <v>44696.0</v>
      </c>
      <c r="B6" s="158" t="s">
        <v>197</v>
      </c>
      <c r="C6" s="158"/>
      <c r="D6" s="158">
        <v>52.0</v>
      </c>
      <c r="E6" s="158">
        <f t="shared" si="1"/>
        <v>0</v>
      </c>
    </row>
    <row r="7">
      <c r="A7" s="177">
        <v>44707.0</v>
      </c>
      <c r="B7" s="158" t="s">
        <v>204</v>
      </c>
      <c r="C7" s="158">
        <v>432.0</v>
      </c>
      <c r="D7" s="158"/>
      <c r="E7" s="158">
        <f t="shared" si="1"/>
        <v>432</v>
      </c>
    </row>
    <row r="8">
      <c r="A8" s="177">
        <v>44748.0</v>
      </c>
      <c r="B8" s="158" t="s">
        <v>323</v>
      </c>
      <c r="C8" s="158"/>
      <c r="D8" s="158">
        <v>84.0</v>
      </c>
      <c r="E8" s="158">
        <f t="shared" si="1"/>
        <v>348</v>
      </c>
    </row>
    <row r="9">
      <c r="A9" s="177">
        <v>44748.0</v>
      </c>
      <c r="B9" s="158" t="s">
        <v>246</v>
      </c>
      <c r="C9" s="158"/>
      <c r="D9" s="158">
        <v>144.0</v>
      </c>
      <c r="E9" s="158">
        <f t="shared" si="1"/>
        <v>204</v>
      </c>
    </row>
    <row r="10">
      <c r="A10" s="177">
        <v>44749.0</v>
      </c>
      <c r="B10" s="158" t="s">
        <v>325</v>
      </c>
      <c r="C10" s="158"/>
      <c r="D10" s="158">
        <v>72.0</v>
      </c>
      <c r="E10" s="158">
        <f t="shared" si="1"/>
        <v>132</v>
      </c>
    </row>
    <row r="11">
      <c r="A11" s="177">
        <v>44755.0</v>
      </c>
      <c r="B11" s="158" t="s">
        <v>326</v>
      </c>
      <c r="C11" s="158"/>
      <c r="D11" s="158">
        <v>132.0</v>
      </c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22.5" customHeight="1">
      <c r="A1" s="185" t="s">
        <v>321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44881.0</v>
      </c>
      <c r="B3" s="182" t="s">
        <v>321</v>
      </c>
      <c r="C3" s="183">
        <v>144.0</v>
      </c>
      <c r="D3" s="184"/>
      <c r="E3" s="183">
        <f>C3</f>
        <v>144</v>
      </c>
    </row>
    <row r="4">
      <c r="A4" s="177">
        <v>44881.0</v>
      </c>
      <c r="B4" s="158" t="s">
        <v>308</v>
      </c>
      <c r="C4" s="158"/>
      <c r="D4" s="158">
        <v>36.0</v>
      </c>
      <c r="E4" s="158">
        <f t="shared" ref="E4:E13" si="1">E3-D4+C4</f>
        <v>108</v>
      </c>
    </row>
    <row r="5">
      <c r="A5" s="177">
        <v>44696.0</v>
      </c>
      <c r="B5" s="158" t="s">
        <v>197</v>
      </c>
      <c r="C5" s="158"/>
      <c r="D5" s="158">
        <v>44.0</v>
      </c>
      <c r="E5" s="158">
        <f t="shared" si="1"/>
        <v>64</v>
      </c>
    </row>
    <row r="6">
      <c r="A6" s="177">
        <v>44707.0</v>
      </c>
      <c r="B6" s="158" t="s">
        <v>204</v>
      </c>
      <c r="C6" s="158">
        <v>144.0</v>
      </c>
      <c r="D6" s="158"/>
      <c r="E6" s="158">
        <f t="shared" si="1"/>
        <v>208</v>
      </c>
    </row>
    <row r="7">
      <c r="A7" s="177">
        <v>44712.0</v>
      </c>
      <c r="B7" s="158" t="s">
        <v>200</v>
      </c>
      <c r="C7" s="158"/>
      <c r="D7" s="158">
        <v>35.0</v>
      </c>
      <c r="E7" s="158">
        <f t="shared" si="1"/>
        <v>173</v>
      </c>
    </row>
    <row r="8">
      <c r="A8" s="177">
        <v>45127.0</v>
      </c>
      <c r="B8" s="158" t="s">
        <v>324</v>
      </c>
      <c r="C8" s="158"/>
      <c r="D8" s="158">
        <v>173.0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327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44883.0</v>
      </c>
      <c r="B3" s="182" t="s">
        <v>327</v>
      </c>
      <c r="C3" s="183">
        <v>144.0</v>
      </c>
      <c r="D3" s="184"/>
      <c r="E3" s="183">
        <f>C3</f>
        <v>144</v>
      </c>
    </row>
    <row r="4">
      <c r="A4" s="151">
        <v>45069.0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328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44893.0</v>
      </c>
      <c r="B3" s="182" t="s">
        <v>328</v>
      </c>
      <c r="C3" s="183">
        <v>144.0</v>
      </c>
      <c r="D3" s="184"/>
      <c r="E3" s="183">
        <f>C3</f>
        <v>144</v>
      </c>
    </row>
    <row r="4">
      <c r="A4" s="151">
        <v>45069.0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329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44893.0</v>
      </c>
      <c r="B3" s="182" t="s">
        <v>329</v>
      </c>
      <c r="C3" s="183">
        <v>144.0</v>
      </c>
      <c r="D3" s="184"/>
      <c r="E3" s="183">
        <f>C3</f>
        <v>144</v>
      </c>
    </row>
    <row r="4">
      <c r="A4" s="151">
        <v>45059.0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330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44893.0</v>
      </c>
      <c r="B3" s="182" t="s">
        <v>330</v>
      </c>
      <c r="C3" s="183">
        <v>144.0</v>
      </c>
      <c r="D3" s="184"/>
      <c r="E3" s="183">
        <f>C3</f>
        <v>144</v>
      </c>
    </row>
    <row r="4">
      <c r="A4" s="151">
        <v>45059.0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331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44893.0</v>
      </c>
      <c r="B3" s="182" t="s">
        <v>331</v>
      </c>
      <c r="C3" s="183">
        <v>144.0</v>
      </c>
      <c r="D3" s="184"/>
      <c r="E3" s="183">
        <f>C3</f>
        <v>144</v>
      </c>
    </row>
    <row r="4">
      <c r="A4" s="151">
        <v>45059.0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0.0" customHeight="1">
      <c r="A1" s="185" t="s">
        <v>332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44893.0</v>
      </c>
      <c r="B3" s="182" t="s">
        <v>332</v>
      </c>
      <c r="C3" s="183">
        <v>144.0</v>
      </c>
      <c r="D3" s="184"/>
      <c r="E3" s="183">
        <f>C3</f>
        <v>144</v>
      </c>
    </row>
    <row r="4">
      <c r="A4" s="151">
        <v>45059.0</v>
      </c>
      <c r="B4" s="159" t="s">
        <v>205</v>
      </c>
      <c r="C4" s="158"/>
      <c r="D4" s="158">
        <v>144.0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55.5" customHeight="1">
      <c r="A1" s="185" t="s">
        <v>333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44707.0</v>
      </c>
      <c r="B3" s="182" t="s">
        <v>333</v>
      </c>
      <c r="C3" s="183">
        <v>288.0</v>
      </c>
      <c r="D3" s="184"/>
      <c r="E3" s="183">
        <f>C3</f>
        <v>288</v>
      </c>
    </row>
    <row r="4">
      <c r="A4" s="177">
        <v>44707.0</v>
      </c>
      <c r="B4" s="159" t="s">
        <v>200</v>
      </c>
      <c r="C4" s="158"/>
      <c r="D4" s="158">
        <v>24.0</v>
      </c>
      <c r="E4" s="158">
        <f t="shared" ref="E4:E13" si="1">E3-D4+C4</f>
        <v>264</v>
      </c>
    </row>
    <row r="5">
      <c r="A5" s="177">
        <v>44755.0</v>
      </c>
      <c r="B5" s="158" t="s">
        <v>326</v>
      </c>
      <c r="C5" s="158"/>
      <c r="D5" s="158">
        <v>88.0</v>
      </c>
      <c r="E5" s="158">
        <f t="shared" si="1"/>
        <v>176</v>
      </c>
    </row>
    <row r="6">
      <c r="A6" s="177">
        <v>44757.0</v>
      </c>
      <c r="B6" s="158" t="s">
        <v>200</v>
      </c>
      <c r="C6" s="158"/>
      <c r="D6" s="158">
        <v>36.0</v>
      </c>
      <c r="E6" s="158">
        <f t="shared" si="1"/>
        <v>140</v>
      </c>
    </row>
    <row r="7">
      <c r="A7" s="151">
        <v>45125.0</v>
      </c>
      <c r="B7" s="158" t="s">
        <v>256</v>
      </c>
      <c r="C7" s="158"/>
      <c r="D7" s="158">
        <v>36.0</v>
      </c>
      <c r="E7" s="158">
        <f t="shared" si="1"/>
        <v>104</v>
      </c>
    </row>
    <row r="8">
      <c r="A8" s="151">
        <v>45140.0</v>
      </c>
      <c r="B8" s="158" t="s">
        <v>335</v>
      </c>
      <c r="C8" s="158"/>
      <c r="D8" s="158">
        <v>104.0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8.29"/>
    <col customWidth="1" min="3" max="26" width="9.14"/>
  </cols>
  <sheetData>
    <row r="1" ht="31.5" customHeight="1">
      <c r="A1" s="185" t="s">
        <v>334</v>
      </c>
      <c r="B1" s="186"/>
      <c r="C1" s="186"/>
      <c r="D1" s="186"/>
      <c r="E1" s="187"/>
    </row>
    <row r="2">
      <c r="A2" s="170" t="s">
        <v>8</v>
      </c>
      <c r="B2" s="170" t="s">
        <v>189</v>
      </c>
      <c r="C2" s="170" t="s">
        <v>190</v>
      </c>
      <c r="D2" s="170" t="s">
        <v>191</v>
      </c>
      <c r="E2" s="170" t="s">
        <v>16</v>
      </c>
    </row>
    <row r="3" ht="18.0" customHeight="1">
      <c r="A3" s="177">
        <v>44707.0</v>
      </c>
      <c r="B3" s="182" t="s">
        <v>334</v>
      </c>
      <c r="C3" s="183">
        <v>288.0</v>
      </c>
      <c r="D3" s="184"/>
      <c r="E3" s="183">
        <f>C3</f>
        <v>288</v>
      </c>
    </row>
    <row r="4">
      <c r="A4" s="177">
        <v>44749.0</v>
      </c>
      <c r="B4" s="159" t="s">
        <v>336</v>
      </c>
      <c r="C4" s="158"/>
      <c r="D4" s="158">
        <v>288.0</v>
      </c>
      <c r="E4" s="158">
        <f t="shared" ref="E4:E13" si="1">E3-D4+C4</f>
        <v>0</v>
      </c>
    </row>
    <row r="5">
      <c r="A5" s="151"/>
      <c r="B5" s="158"/>
      <c r="C5" s="158"/>
      <c r="D5" s="158"/>
      <c r="E5" s="158">
        <f t="shared" si="1"/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338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24.0</v>
      </c>
    </row>
    <row r="5">
      <c r="A5" s="151">
        <v>44943.0</v>
      </c>
      <c r="B5" s="158" t="s">
        <v>212</v>
      </c>
      <c r="C5" s="158">
        <v>48.0</v>
      </c>
      <c r="D5" s="158"/>
      <c r="E5" s="158">
        <f t="shared" ref="E5:E13" si="1">E4+C5-D5</f>
        <v>72</v>
      </c>
    </row>
    <row r="6">
      <c r="A6" s="151">
        <v>44943.0</v>
      </c>
      <c r="B6" s="152" t="s">
        <v>206</v>
      </c>
      <c r="C6" s="158"/>
      <c r="D6" s="158">
        <v>2.0</v>
      </c>
      <c r="E6" s="158">
        <f t="shared" si="1"/>
        <v>70</v>
      </c>
    </row>
    <row r="7">
      <c r="A7" s="151">
        <v>45059.0</v>
      </c>
      <c r="B7" s="159" t="s">
        <v>205</v>
      </c>
      <c r="C7" s="158"/>
      <c r="D7" s="158">
        <v>48.0</v>
      </c>
      <c r="E7" s="158">
        <f t="shared" si="1"/>
        <v>22</v>
      </c>
    </row>
    <row r="8">
      <c r="A8" s="151">
        <v>45073.0</v>
      </c>
      <c r="B8" s="158" t="s">
        <v>212</v>
      </c>
      <c r="C8" s="158">
        <v>48.0</v>
      </c>
      <c r="D8" s="158"/>
      <c r="E8" s="158">
        <f t="shared" si="1"/>
        <v>70</v>
      </c>
    </row>
    <row r="9">
      <c r="A9" s="151">
        <v>45077.0</v>
      </c>
      <c r="B9" s="158" t="s">
        <v>339</v>
      </c>
      <c r="C9" s="158"/>
      <c r="D9" s="158">
        <v>7.0</v>
      </c>
      <c r="E9" s="158">
        <f t="shared" si="1"/>
        <v>63</v>
      </c>
    </row>
    <row r="10">
      <c r="A10" s="151"/>
      <c r="B10" s="158"/>
      <c r="C10" s="158"/>
      <c r="D10" s="161">
        <v>63.0</v>
      </c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337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200.0</v>
      </c>
    </row>
    <row r="5">
      <c r="A5" s="151">
        <v>44942.0</v>
      </c>
      <c r="B5" s="152" t="s">
        <v>194</v>
      </c>
      <c r="C5" s="158"/>
      <c r="D5" s="158">
        <v>24.0</v>
      </c>
      <c r="E5" s="158">
        <f t="shared" ref="E5:E13" si="1">E4+C5-D5</f>
        <v>176</v>
      </c>
    </row>
    <row r="6">
      <c r="A6" s="151">
        <v>44943.0</v>
      </c>
      <c r="B6" s="152" t="s">
        <v>206</v>
      </c>
      <c r="C6" s="158"/>
      <c r="D6" s="158">
        <v>4.0</v>
      </c>
      <c r="E6" s="158">
        <f t="shared" si="1"/>
        <v>172</v>
      </c>
    </row>
    <row r="7">
      <c r="A7" s="151">
        <v>45051.0</v>
      </c>
      <c r="B7" s="158" t="s">
        <v>294</v>
      </c>
      <c r="C7" s="158"/>
      <c r="D7" s="158">
        <v>48.0</v>
      </c>
      <c r="E7" s="158">
        <f t="shared" si="1"/>
        <v>124</v>
      </c>
    </row>
    <row r="8">
      <c r="A8" s="151">
        <v>45059.0</v>
      </c>
      <c r="B8" s="159" t="s">
        <v>205</v>
      </c>
      <c r="C8" s="158"/>
      <c r="D8" s="158">
        <v>48.0</v>
      </c>
      <c r="E8" s="158">
        <f t="shared" si="1"/>
        <v>76</v>
      </c>
    </row>
    <row r="9">
      <c r="A9" s="151">
        <v>45065.0</v>
      </c>
      <c r="B9" s="159" t="s">
        <v>309</v>
      </c>
      <c r="C9" s="158"/>
      <c r="D9" s="158">
        <v>48.0</v>
      </c>
      <c r="E9" s="158">
        <f t="shared" si="1"/>
        <v>28</v>
      </c>
    </row>
    <row r="10">
      <c r="A10" s="151">
        <v>45070.0</v>
      </c>
      <c r="B10" s="159" t="s">
        <v>200</v>
      </c>
      <c r="C10" s="158"/>
      <c r="D10" s="158">
        <v>1.0</v>
      </c>
      <c r="E10" s="158">
        <f t="shared" si="1"/>
        <v>27</v>
      </c>
    </row>
    <row r="11">
      <c r="A11" s="151">
        <v>45073.0</v>
      </c>
      <c r="B11" s="159" t="s">
        <v>314</v>
      </c>
      <c r="C11" s="158">
        <v>48.0</v>
      </c>
      <c r="D11" s="158"/>
      <c r="E11" s="158">
        <f t="shared" si="1"/>
        <v>75</v>
      </c>
    </row>
    <row r="12">
      <c r="A12" s="151"/>
      <c r="B12" s="158"/>
      <c r="C12" s="158"/>
      <c r="D12" s="161">
        <v>75.0</v>
      </c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192.0</v>
      </c>
    </row>
    <row r="5">
      <c r="A5" s="151">
        <v>44888.0</v>
      </c>
      <c r="B5" s="158" t="s">
        <v>212</v>
      </c>
      <c r="C5" s="158">
        <v>144.0</v>
      </c>
      <c r="D5" s="158"/>
      <c r="E5" s="158">
        <f t="shared" ref="E5:E12" si="1">E4+C5-D5</f>
        <v>336</v>
      </c>
    </row>
    <row r="6">
      <c r="A6" s="151">
        <v>45059.0</v>
      </c>
      <c r="B6" s="159" t="s">
        <v>205</v>
      </c>
      <c r="C6" s="158"/>
      <c r="D6" s="158">
        <v>72.0</v>
      </c>
      <c r="E6" s="158">
        <f t="shared" si="1"/>
        <v>264</v>
      </c>
    </row>
    <row r="7">
      <c r="A7" s="151"/>
      <c r="B7" s="158"/>
      <c r="C7" s="158"/>
      <c r="D7" s="161">
        <v>264.0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341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312.0</v>
      </c>
    </row>
    <row r="5">
      <c r="A5" s="151">
        <v>44943.0</v>
      </c>
      <c r="B5" s="152" t="s">
        <v>206</v>
      </c>
      <c r="C5" s="158"/>
      <c r="D5" s="158">
        <v>3.0</v>
      </c>
      <c r="E5" s="158">
        <f t="shared" ref="E5:E10" si="1">E4+C5-D5</f>
        <v>309</v>
      </c>
    </row>
    <row r="6">
      <c r="A6" s="151">
        <v>44968.0</v>
      </c>
      <c r="B6" s="152" t="s">
        <v>215</v>
      </c>
      <c r="C6" s="158"/>
      <c r="D6" s="158">
        <v>72.0</v>
      </c>
      <c r="E6" s="158">
        <f t="shared" si="1"/>
        <v>237</v>
      </c>
    </row>
    <row r="7">
      <c r="A7" s="151">
        <v>44968.0</v>
      </c>
      <c r="B7" s="158" t="s">
        <v>212</v>
      </c>
      <c r="C7" s="158">
        <v>720.0</v>
      </c>
      <c r="D7" s="158"/>
      <c r="E7" s="158">
        <f t="shared" si="1"/>
        <v>957</v>
      </c>
    </row>
    <row r="8">
      <c r="A8" s="151"/>
      <c r="B8" s="158"/>
      <c r="C8" s="158"/>
      <c r="D8" s="161">
        <v>957.0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E11" s="158">
        <f>E10/72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138.0</v>
      </c>
      <c r="D4" s="158"/>
      <c r="E4" s="158">
        <f>C4</f>
        <v>138</v>
      </c>
    </row>
    <row r="5">
      <c r="A5" s="151">
        <v>44943.0</v>
      </c>
      <c r="B5" s="152" t="s">
        <v>206</v>
      </c>
      <c r="C5" s="158"/>
      <c r="D5" s="158">
        <v>20.0</v>
      </c>
      <c r="E5" s="158">
        <f t="shared" ref="E5:E12" si="1">E4+C5-D5</f>
        <v>118</v>
      </c>
    </row>
    <row r="6">
      <c r="A6" s="151">
        <v>44972.0</v>
      </c>
      <c r="B6" s="158" t="s">
        <v>343</v>
      </c>
      <c r="C6" s="158"/>
      <c r="D6" s="158">
        <v>36.0</v>
      </c>
      <c r="E6" s="158">
        <f t="shared" si="1"/>
        <v>82</v>
      </c>
    </row>
    <row r="7">
      <c r="A7" s="151">
        <v>44972.0</v>
      </c>
      <c r="B7" s="158" t="s">
        <v>344</v>
      </c>
      <c r="C7" s="158"/>
      <c r="D7" s="158">
        <v>36.0</v>
      </c>
      <c r="E7" s="158">
        <f t="shared" si="1"/>
        <v>46</v>
      </c>
    </row>
    <row r="8">
      <c r="A8" s="151">
        <v>44972.0</v>
      </c>
      <c r="B8" s="158" t="s">
        <v>212</v>
      </c>
      <c r="C8" s="158">
        <v>108.0</v>
      </c>
      <c r="D8" s="158"/>
      <c r="E8" s="158">
        <f t="shared" si="1"/>
        <v>154</v>
      </c>
    </row>
    <row r="9">
      <c r="A9" s="151">
        <v>45021.0</v>
      </c>
      <c r="B9" s="158" t="s">
        <v>281</v>
      </c>
      <c r="C9" s="158"/>
      <c r="D9" s="158">
        <v>36.0</v>
      </c>
      <c r="E9" s="158">
        <f t="shared" si="1"/>
        <v>118</v>
      </c>
    </row>
    <row r="10">
      <c r="A10" s="151">
        <v>45059.0</v>
      </c>
      <c r="B10" s="158" t="s">
        <v>222</v>
      </c>
      <c r="C10" s="158"/>
      <c r="D10" s="158">
        <v>98.0</v>
      </c>
      <c r="E10" s="158">
        <f t="shared" si="1"/>
        <v>20</v>
      </c>
    </row>
    <row r="11">
      <c r="A11" s="151">
        <v>45097.0</v>
      </c>
      <c r="B11" s="158" t="s">
        <v>201</v>
      </c>
      <c r="C11" s="158"/>
      <c r="D11" s="158">
        <v>20.0</v>
      </c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144.0</v>
      </c>
      <c r="D4" s="158"/>
      <c r="E4" s="158">
        <f>C4</f>
        <v>144</v>
      </c>
    </row>
    <row r="5">
      <c r="A5" s="151">
        <v>44972.0</v>
      </c>
      <c r="B5" s="158" t="s">
        <v>343</v>
      </c>
      <c r="C5" s="158"/>
      <c r="D5" s="158">
        <v>36.0</v>
      </c>
      <c r="E5" s="158">
        <f t="shared" ref="E5:E12" si="1">E4+C5-D5</f>
        <v>108</v>
      </c>
    </row>
    <row r="6">
      <c r="A6" s="151">
        <v>44972.0</v>
      </c>
      <c r="B6" s="158" t="s">
        <v>344</v>
      </c>
      <c r="C6" s="158"/>
      <c r="D6" s="158">
        <v>36.0</v>
      </c>
      <c r="E6" s="158">
        <f t="shared" si="1"/>
        <v>72</v>
      </c>
    </row>
    <row r="7">
      <c r="A7" s="151">
        <v>44972.0</v>
      </c>
      <c r="B7" s="158" t="s">
        <v>212</v>
      </c>
      <c r="C7" s="158">
        <v>36.0</v>
      </c>
      <c r="D7" s="158"/>
      <c r="E7" s="158">
        <f t="shared" si="1"/>
        <v>108</v>
      </c>
    </row>
    <row r="8">
      <c r="A8" s="151">
        <v>45021.0</v>
      </c>
      <c r="B8" s="158" t="s">
        <v>281</v>
      </c>
      <c r="C8" s="158"/>
      <c r="D8" s="158">
        <v>36.0</v>
      </c>
      <c r="E8" s="158">
        <f t="shared" si="1"/>
        <v>72</v>
      </c>
    </row>
    <row r="9">
      <c r="A9" s="151">
        <v>45059.0</v>
      </c>
      <c r="B9" s="158" t="s">
        <v>222</v>
      </c>
      <c r="C9" s="158"/>
      <c r="D9" s="158">
        <v>72.0</v>
      </c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2"/>
      <c r="C4" s="158"/>
      <c r="D4" s="158"/>
      <c r="E4" s="158">
        <v>336.0</v>
      </c>
    </row>
    <row r="5">
      <c r="A5" s="151">
        <v>44929.0</v>
      </c>
      <c r="B5" s="152" t="s">
        <v>230</v>
      </c>
      <c r="C5" s="158"/>
      <c r="D5" s="158">
        <v>48.0</v>
      </c>
      <c r="E5" s="158">
        <f t="shared" ref="E5:E13" si="1">E4+C5-D5</f>
        <v>288</v>
      </c>
    </row>
    <row r="6">
      <c r="A6" s="151">
        <v>44943.0</v>
      </c>
      <c r="B6" s="152" t="s">
        <v>206</v>
      </c>
      <c r="C6" s="158"/>
      <c r="D6" s="158">
        <v>2.0</v>
      </c>
      <c r="E6" s="158">
        <f t="shared" si="1"/>
        <v>286</v>
      </c>
    </row>
    <row r="7">
      <c r="A7" s="151">
        <v>44972.0</v>
      </c>
      <c r="B7" s="158" t="s">
        <v>343</v>
      </c>
      <c r="C7" s="158"/>
      <c r="D7" s="158">
        <v>48.0</v>
      </c>
      <c r="E7" s="158">
        <f t="shared" si="1"/>
        <v>238</v>
      </c>
    </row>
    <row r="8">
      <c r="A8" s="151">
        <v>44972.0</v>
      </c>
      <c r="B8" s="158" t="s">
        <v>344</v>
      </c>
      <c r="C8" s="158"/>
      <c r="D8" s="158">
        <v>48.0</v>
      </c>
      <c r="E8" s="158">
        <f t="shared" si="1"/>
        <v>190</v>
      </c>
    </row>
    <row r="9">
      <c r="A9" s="151">
        <v>45059.0</v>
      </c>
      <c r="B9" s="158" t="s">
        <v>222</v>
      </c>
      <c r="C9" s="158"/>
      <c r="D9" s="158">
        <v>188.0</v>
      </c>
      <c r="E9" s="158">
        <f t="shared" si="1"/>
        <v>2</v>
      </c>
    </row>
    <row r="10">
      <c r="A10" s="151">
        <v>45097.0</v>
      </c>
      <c r="B10" s="158" t="s">
        <v>201</v>
      </c>
      <c r="C10" s="158"/>
      <c r="D10" s="158">
        <v>2.0</v>
      </c>
      <c r="E10" s="158">
        <f t="shared" si="1"/>
        <v>0</v>
      </c>
    </row>
    <row r="11">
      <c r="A11" s="151">
        <v>45110.0</v>
      </c>
      <c r="B11" s="158" t="s">
        <v>349</v>
      </c>
      <c r="C11" s="158">
        <v>24.0</v>
      </c>
      <c r="D11" s="158"/>
      <c r="E11" s="158">
        <f t="shared" si="1"/>
        <v>24</v>
      </c>
    </row>
    <row r="12">
      <c r="A12" s="151"/>
      <c r="B12" s="158"/>
      <c r="C12" s="158"/>
      <c r="D12" s="161">
        <v>24.0</v>
      </c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347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2"/>
      <c r="C4" s="158"/>
      <c r="D4" s="158"/>
      <c r="E4" s="158">
        <v>234.0</v>
      </c>
    </row>
    <row r="5">
      <c r="A5" s="151">
        <v>44929.0</v>
      </c>
      <c r="B5" s="152" t="s">
        <v>230</v>
      </c>
      <c r="C5" s="158"/>
      <c r="D5" s="158">
        <v>48.0</v>
      </c>
      <c r="E5" s="158">
        <f t="shared" ref="E5:E13" si="1">E4+C5-D5</f>
        <v>186</v>
      </c>
    </row>
    <row r="6">
      <c r="A6" s="151">
        <v>44943.0</v>
      </c>
      <c r="B6" s="152" t="s">
        <v>206</v>
      </c>
      <c r="C6" s="158"/>
      <c r="D6" s="158">
        <v>3.0</v>
      </c>
      <c r="E6" s="158">
        <f t="shared" si="1"/>
        <v>183</v>
      </c>
    </row>
    <row r="7">
      <c r="A7" s="151">
        <v>44972.0</v>
      </c>
      <c r="B7" s="158" t="s">
        <v>343</v>
      </c>
      <c r="C7" s="158"/>
      <c r="D7" s="158">
        <v>48.0</v>
      </c>
      <c r="E7" s="158">
        <f t="shared" si="1"/>
        <v>135</v>
      </c>
    </row>
    <row r="8">
      <c r="A8" s="151">
        <v>44972.0</v>
      </c>
      <c r="B8" s="158" t="s">
        <v>344</v>
      </c>
      <c r="C8" s="158"/>
      <c r="D8" s="158">
        <v>48.0</v>
      </c>
      <c r="E8" s="158">
        <f t="shared" si="1"/>
        <v>87</v>
      </c>
    </row>
    <row r="9">
      <c r="A9" s="151">
        <v>45059.0</v>
      </c>
      <c r="B9" s="158" t="s">
        <v>222</v>
      </c>
      <c r="C9" s="158"/>
      <c r="D9" s="158">
        <v>87.0</v>
      </c>
      <c r="E9" s="158">
        <f t="shared" si="1"/>
        <v>0</v>
      </c>
    </row>
    <row r="10">
      <c r="A10" s="151">
        <v>45110.0</v>
      </c>
      <c r="B10" s="158" t="s">
        <v>349</v>
      </c>
      <c r="C10" s="158">
        <v>48.0</v>
      </c>
      <c r="D10" s="158"/>
      <c r="E10" s="158">
        <f t="shared" si="1"/>
        <v>48</v>
      </c>
    </row>
    <row r="11">
      <c r="A11" s="151"/>
      <c r="B11" s="158"/>
      <c r="C11" s="158"/>
      <c r="D11" s="161">
        <v>48.0</v>
      </c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E14" s="158">
        <f>E13/48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348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294.0</v>
      </c>
      <c r="D4" s="158"/>
      <c r="E4" s="158">
        <f>C4</f>
        <v>294</v>
      </c>
    </row>
    <row r="5">
      <c r="A5" s="151">
        <v>44943.0</v>
      </c>
      <c r="B5" s="152" t="s">
        <v>206</v>
      </c>
      <c r="C5" s="158"/>
      <c r="D5" s="158">
        <v>6.0</v>
      </c>
      <c r="E5" s="158">
        <f t="shared" ref="E5:E12" si="1">E4+C5-D5</f>
        <v>288</v>
      </c>
    </row>
    <row r="6">
      <c r="A6" s="151">
        <v>44986.0</v>
      </c>
      <c r="B6" s="158" t="s">
        <v>218</v>
      </c>
      <c r="C6" s="158"/>
      <c r="D6" s="158">
        <v>168.0</v>
      </c>
      <c r="E6" s="158">
        <f t="shared" si="1"/>
        <v>120</v>
      </c>
    </row>
    <row r="7">
      <c r="A7" s="151">
        <v>45021.0</v>
      </c>
      <c r="B7" s="158" t="s">
        <v>281</v>
      </c>
      <c r="C7" s="158"/>
      <c r="D7" s="158">
        <v>42.0</v>
      </c>
      <c r="E7" s="158">
        <f t="shared" si="1"/>
        <v>78</v>
      </c>
    </row>
    <row r="8">
      <c r="A8" s="151">
        <v>45059.0</v>
      </c>
      <c r="B8" s="158" t="s">
        <v>222</v>
      </c>
      <c r="C8" s="158"/>
      <c r="D8" s="158">
        <v>78.0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E12/84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126.0</v>
      </c>
      <c r="D4" s="158"/>
      <c r="E4" s="158">
        <f>C4</f>
        <v>126</v>
      </c>
    </row>
    <row r="5">
      <c r="A5" s="151">
        <v>44986.0</v>
      </c>
      <c r="B5" s="158" t="s">
        <v>218</v>
      </c>
      <c r="C5" s="158"/>
      <c r="D5" s="158">
        <v>84.0</v>
      </c>
      <c r="E5" s="158">
        <f t="shared" ref="E5:E12" si="1">E4+C5-D5</f>
        <v>42</v>
      </c>
    </row>
    <row r="6">
      <c r="A6" s="151">
        <v>45021.0</v>
      </c>
      <c r="B6" s="158" t="s">
        <v>281</v>
      </c>
      <c r="C6" s="158"/>
      <c r="D6" s="158">
        <v>42.0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E12/84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351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294.0</v>
      </c>
      <c r="D4" s="158"/>
      <c r="E4" s="158">
        <f>C4</f>
        <v>294</v>
      </c>
    </row>
    <row r="5">
      <c r="A5" s="151"/>
      <c r="B5" s="158"/>
      <c r="C5" s="158"/>
      <c r="D5" s="161">
        <v>294.0</v>
      </c>
      <c r="E5" s="158">
        <f t="shared" ref="E5:E12" si="1">E4+C5-D5</f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E12/84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546.0</v>
      </c>
      <c r="D4" s="158"/>
      <c r="E4" s="158">
        <f>C4</f>
        <v>546</v>
      </c>
    </row>
    <row r="5">
      <c r="A5" s="151">
        <v>44943.0</v>
      </c>
      <c r="B5" s="152" t="s">
        <v>206</v>
      </c>
      <c r="C5" s="158"/>
      <c r="D5" s="158">
        <v>12.0</v>
      </c>
      <c r="E5" s="158">
        <f t="shared" ref="E5:E12" si="1">E4+C5-D5</f>
        <v>534</v>
      </c>
    </row>
    <row r="6">
      <c r="A6" s="151"/>
      <c r="B6" s="158"/>
      <c r="C6" s="158"/>
      <c r="D6" s="161">
        <v>534.0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E12/84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353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504.0</v>
      </c>
      <c r="D4" s="158"/>
      <c r="E4" s="158">
        <f>C4</f>
        <v>504</v>
      </c>
    </row>
    <row r="5">
      <c r="A5" s="151">
        <v>44943.0</v>
      </c>
      <c r="B5" s="152" t="s">
        <v>206</v>
      </c>
      <c r="C5" s="158"/>
      <c r="D5" s="158">
        <v>24.0</v>
      </c>
      <c r="E5" s="158">
        <f t="shared" ref="E5:E12" si="1">E4+C5-D5</f>
        <v>480</v>
      </c>
    </row>
    <row r="6">
      <c r="A6" s="151">
        <v>45002.0</v>
      </c>
      <c r="B6" s="158" t="s">
        <v>200</v>
      </c>
      <c r="C6" s="158"/>
      <c r="D6" s="158">
        <v>432.0</v>
      </c>
      <c r="E6" s="158">
        <f t="shared" si="1"/>
        <v>48</v>
      </c>
    </row>
    <row r="7">
      <c r="A7" s="151">
        <v>45059.0</v>
      </c>
      <c r="B7" s="158" t="s">
        <v>222</v>
      </c>
      <c r="C7" s="158"/>
      <c r="D7" s="158">
        <v>40.0</v>
      </c>
      <c r="E7" s="158">
        <f t="shared" si="1"/>
        <v>8</v>
      </c>
    </row>
    <row r="8">
      <c r="A8" s="151">
        <v>45097.0</v>
      </c>
      <c r="B8" s="158" t="s">
        <v>201</v>
      </c>
      <c r="C8" s="158"/>
      <c r="D8" s="158">
        <v>8.0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354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130.0</v>
      </c>
    </row>
    <row r="5">
      <c r="A5" s="151">
        <v>44943.0</v>
      </c>
      <c r="B5" s="152" t="s">
        <v>206</v>
      </c>
      <c r="C5" s="158"/>
      <c r="D5" s="158">
        <v>8.0</v>
      </c>
      <c r="E5" s="158">
        <f t="shared" ref="E5:E10" si="1">E4+C5-D5</f>
        <v>122</v>
      </c>
    </row>
    <row r="6">
      <c r="A6" s="151">
        <v>44949.0</v>
      </c>
      <c r="B6" s="158" t="s">
        <v>357</v>
      </c>
      <c r="C6" s="158"/>
      <c r="D6" s="158">
        <v>52.0</v>
      </c>
      <c r="E6" s="158">
        <f t="shared" si="1"/>
        <v>70</v>
      </c>
    </row>
    <row r="7">
      <c r="A7" s="151">
        <v>44972.0</v>
      </c>
      <c r="B7" s="158" t="s">
        <v>343</v>
      </c>
      <c r="C7" s="158"/>
      <c r="D7" s="158">
        <v>52.0</v>
      </c>
      <c r="E7" s="158">
        <f t="shared" si="1"/>
        <v>18</v>
      </c>
    </row>
    <row r="8">
      <c r="A8" s="151">
        <v>44987.0</v>
      </c>
      <c r="B8" s="158" t="s">
        <v>281</v>
      </c>
      <c r="C8" s="158"/>
      <c r="D8" s="158">
        <v>18.0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E11" s="158">
        <f>E10/52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44943.0</v>
      </c>
      <c r="B4" s="158" t="s">
        <v>212</v>
      </c>
      <c r="C4" s="158">
        <v>504.0</v>
      </c>
      <c r="D4" s="158"/>
      <c r="E4" s="158">
        <f>C4</f>
        <v>504</v>
      </c>
    </row>
    <row r="5">
      <c r="A5" s="151">
        <v>44943.0</v>
      </c>
      <c r="B5" s="152" t="s">
        <v>206</v>
      </c>
      <c r="C5" s="158"/>
      <c r="D5" s="158">
        <v>24.0</v>
      </c>
      <c r="E5" s="158">
        <f t="shared" ref="E5:E12" si="1">E4+C5-D5</f>
        <v>480</v>
      </c>
    </row>
    <row r="6">
      <c r="A6" s="151">
        <v>45002.0</v>
      </c>
      <c r="B6" s="158" t="s">
        <v>200</v>
      </c>
      <c r="C6" s="158"/>
      <c r="D6" s="158">
        <v>432.0</v>
      </c>
      <c r="E6" s="158">
        <f t="shared" si="1"/>
        <v>48</v>
      </c>
    </row>
    <row r="7">
      <c r="A7" s="151">
        <v>45059.0</v>
      </c>
      <c r="B7" s="158" t="s">
        <v>222</v>
      </c>
      <c r="C7" s="158"/>
      <c r="D7" s="158">
        <v>44.0</v>
      </c>
      <c r="E7" s="158">
        <f t="shared" si="1"/>
        <v>4</v>
      </c>
    </row>
    <row r="8">
      <c r="A8" s="151">
        <v>45097.0</v>
      </c>
      <c r="B8" s="158" t="s">
        <v>201</v>
      </c>
      <c r="C8" s="158"/>
      <c r="D8" s="158">
        <v>4.0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E13" s="158">
        <f>E12/144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58"/>
      <c r="E4" s="158">
        <v>130.0</v>
      </c>
    </row>
    <row r="5">
      <c r="A5" s="151">
        <v>44946.0</v>
      </c>
      <c r="B5" s="158" t="s">
        <v>200</v>
      </c>
      <c r="C5" s="158"/>
      <c r="D5" s="158">
        <v>1.0</v>
      </c>
      <c r="E5" s="158">
        <f t="shared" ref="E5:E8" si="1">E4+C5-D5</f>
        <v>129</v>
      </c>
    </row>
    <row r="6">
      <c r="A6" s="151">
        <v>44949.0</v>
      </c>
      <c r="B6" s="158" t="s">
        <v>357</v>
      </c>
      <c r="C6" s="158"/>
      <c r="D6" s="158">
        <v>52.0</v>
      </c>
      <c r="E6" s="158">
        <f t="shared" si="1"/>
        <v>77</v>
      </c>
    </row>
    <row r="7">
      <c r="A7" s="151">
        <v>44987.0</v>
      </c>
      <c r="B7" s="158" t="s">
        <v>281</v>
      </c>
      <c r="C7" s="158"/>
      <c r="D7" s="158">
        <v>77.0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E9" s="158">
        <f>E8/52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358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44870.0</v>
      </c>
      <c r="B4" s="158" t="s">
        <v>358</v>
      </c>
      <c r="C4" s="158">
        <v>144.0</v>
      </c>
      <c r="D4" s="173"/>
      <c r="E4" s="158">
        <f>C4</f>
        <v>144</v>
      </c>
    </row>
    <row r="5">
      <c r="A5" s="151">
        <v>44943.0</v>
      </c>
      <c r="B5" s="158" t="s">
        <v>212</v>
      </c>
      <c r="C5" s="158">
        <v>144.0</v>
      </c>
      <c r="D5" s="158"/>
      <c r="E5" s="158">
        <f t="shared" ref="E5:E14" si="1">E4+C5-D5</f>
        <v>288</v>
      </c>
    </row>
    <row r="6">
      <c r="A6" s="151">
        <v>44972.0</v>
      </c>
      <c r="B6" s="158" t="s">
        <v>230</v>
      </c>
      <c r="C6" s="158"/>
      <c r="D6" s="158">
        <v>144.0</v>
      </c>
      <c r="E6" s="158">
        <f t="shared" si="1"/>
        <v>144</v>
      </c>
    </row>
    <row r="7">
      <c r="A7" s="151"/>
      <c r="B7" s="158"/>
      <c r="C7" s="158"/>
      <c r="D7" s="161">
        <v>144.0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359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44870.0</v>
      </c>
      <c r="B4" s="158" t="s">
        <v>359</v>
      </c>
      <c r="C4" s="158">
        <v>72.0</v>
      </c>
      <c r="D4" s="173"/>
      <c r="E4" s="158">
        <f>C4</f>
        <v>72</v>
      </c>
    </row>
    <row r="5">
      <c r="A5" s="151">
        <v>44943.0</v>
      </c>
      <c r="B5" s="158" t="s">
        <v>212</v>
      </c>
      <c r="C5" s="158">
        <v>72.0</v>
      </c>
      <c r="D5" s="158"/>
      <c r="E5" s="158">
        <f t="shared" ref="E5:E14" si="1">E4+C5-D5</f>
        <v>144</v>
      </c>
    </row>
    <row r="6">
      <c r="A6" s="151"/>
      <c r="B6" s="158"/>
      <c r="C6" s="158"/>
      <c r="D6" s="161">
        <v>144.0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360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73"/>
      <c r="E4" s="158">
        <v>144.0</v>
      </c>
    </row>
    <row r="5">
      <c r="A5" s="151">
        <v>44943.0</v>
      </c>
      <c r="B5" s="158" t="s">
        <v>212</v>
      </c>
      <c r="C5" s="158">
        <v>288.0</v>
      </c>
      <c r="D5" s="158"/>
      <c r="E5" s="158">
        <f t="shared" ref="E5:E14" si="1">E4+C5-D5</f>
        <v>432</v>
      </c>
    </row>
    <row r="6">
      <c r="A6" s="151">
        <v>44946.0</v>
      </c>
      <c r="B6" s="152" t="s">
        <v>206</v>
      </c>
      <c r="C6" s="158"/>
      <c r="D6" s="158">
        <v>1.0</v>
      </c>
      <c r="E6" s="158">
        <f t="shared" si="1"/>
        <v>431</v>
      </c>
    </row>
    <row r="7">
      <c r="A7" s="151">
        <v>45093.0</v>
      </c>
      <c r="B7" s="158" t="s">
        <v>219</v>
      </c>
      <c r="C7" s="158"/>
      <c r="D7" s="158">
        <v>12.0</v>
      </c>
      <c r="E7" s="158">
        <f t="shared" si="1"/>
        <v>419</v>
      </c>
    </row>
    <row r="8">
      <c r="A8" s="151"/>
      <c r="B8" s="158"/>
      <c r="C8" s="158"/>
      <c r="D8" s="161">
        <v>419.0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E14/144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361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73"/>
      <c r="E4" s="158">
        <v>72.0</v>
      </c>
    </row>
    <row r="5">
      <c r="A5" s="151">
        <v>44943.0</v>
      </c>
      <c r="B5" s="158" t="s">
        <v>212</v>
      </c>
      <c r="C5" s="158">
        <v>282.0</v>
      </c>
      <c r="D5" s="158"/>
      <c r="E5" s="158">
        <f t="shared" ref="E5:E14" si="1">E4+C5-D5</f>
        <v>354</v>
      </c>
    </row>
    <row r="6">
      <c r="A6" s="151">
        <v>44943.0</v>
      </c>
      <c r="B6" s="152" t="s">
        <v>206</v>
      </c>
      <c r="C6" s="158"/>
      <c r="D6" s="158">
        <v>3.0</v>
      </c>
      <c r="E6" s="158">
        <f t="shared" si="1"/>
        <v>351</v>
      </c>
    </row>
    <row r="7">
      <c r="A7" s="151"/>
      <c r="B7" s="158"/>
      <c r="C7" s="158"/>
      <c r="D7" s="161">
        <v>351.0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362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44870.0</v>
      </c>
      <c r="B4" s="158" t="s">
        <v>362</v>
      </c>
      <c r="C4" s="158">
        <v>48.0</v>
      </c>
      <c r="D4" s="173"/>
      <c r="E4" s="158">
        <f>C4</f>
        <v>48</v>
      </c>
    </row>
    <row r="5">
      <c r="A5" s="151">
        <v>44943.0</v>
      </c>
      <c r="B5" s="152" t="s">
        <v>206</v>
      </c>
      <c r="C5" s="158"/>
      <c r="D5" s="158">
        <v>13.0</v>
      </c>
      <c r="E5" s="158">
        <f t="shared" ref="E5:E14" si="1">E4+C5-D5</f>
        <v>35</v>
      </c>
    </row>
    <row r="6">
      <c r="A6" s="151"/>
      <c r="B6" s="158"/>
      <c r="C6" s="158"/>
      <c r="D6" s="161">
        <v>35.0</v>
      </c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363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44870.0</v>
      </c>
      <c r="B4" s="158" t="s">
        <v>363</v>
      </c>
      <c r="C4" s="158">
        <v>96.0</v>
      </c>
      <c r="D4" s="173"/>
      <c r="E4" s="158">
        <f>C4</f>
        <v>96</v>
      </c>
    </row>
    <row r="5">
      <c r="A5" s="151">
        <v>45059.0</v>
      </c>
      <c r="B5" s="159" t="s">
        <v>205</v>
      </c>
      <c r="C5" s="158"/>
      <c r="D5" s="158">
        <v>96.0</v>
      </c>
      <c r="E5" s="158">
        <f t="shared" ref="E5:E14" si="1">E4+C5-D5</f>
        <v>0</v>
      </c>
    </row>
    <row r="6">
      <c r="A6" s="151">
        <v>45073.0</v>
      </c>
      <c r="B6" s="158" t="s">
        <v>204</v>
      </c>
      <c r="C6" s="158">
        <v>480.0</v>
      </c>
      <c r="D6" s="158"/>
      <c r="E6" s="158">
        <f t="shared" si="1"/>
        <v>480</v>
      </c>
    </row>
    <row r="7">
      <c r="A7" s="151"/>
      <c r="B7" s="158"/>
      <c r="C7" s="158"/>
      <c r="D7" s="161">
        <v>480.0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E14/96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364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45073.0</v>
      </c>
      <c r="B4" s="158" t="s">
        <v>364</v>
      </c>
      <c r="C4" s="158">
        <v>192.0</v>
      </c>
      <c r="D4" s="173"/>
      <c r="E4" s="158">
        <f>C4</f>
        <v>192</v>
      </c>
    </row>
    <row r="5">
      <c r="A5" s="151"/>
      <c r="B5" s="152"/>
      <c r="C5" s="158"/>
      <c r="D5" s="161">
        <v>192.0</v>
      </c>
      <c r="E5" s="158">
        <f t="shared" ref="E5:E14" si="1">E4+C5-D5</f>
        <v>0</v>
      </c>
    </row>
    <row r="6">
      <c r="A6" s="151"/>
      <c r="B6" s="158"/>
      <c r="C6" s="158"/>
      <c r="D6" s="158"/>
      <c r="E6" s="158">
        <f t="shared" si="1"/>
        <v>0</v>
      </c>
    </row>
    <row r="7">
      <c r="A7" s="151"/>
      <c r="B7" s="158"/>
      <c r="C7" s="158"/>
      <c r="D7" s="158"/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E14/96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365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44870.0</v>
      </c>
      <c r="B4" s="158" t="s">
        <v>365</v>
      </c>
      <c r="C4" s="158">
        <v>96.0</v>
      </c>
      <c r="D4" s="173"/>
      <c r="E4" s="158">
        <f>C4</f>
        <v>96</v>
      </c>
    </row>
    <row r="5">
      <c r="A5" s="151">
        <v>44943.0</v>
      </c>
      <c r="B5" s="158" t="s">
        <v>212</v>
      </c>
      <c r="C5" s="158">
        <v>96.0</v>
      </c>
      <c r="D5" s="158"/>
      <c r="E5" s="158">
        <f t="shared" ref="E5:E14" si="1">E4+C5-D5</f>
        <v>192</v>
      </c>
    </row>
    <row r="6">
      <c r="A6" s="151">
        <v>44987.0</v>
      </c>
      <c r="B6" s="158" t="s">
        <v>234</v>
      </c>
      <c r="C6" s="158"/>
      <c r="D6" s="158">
        <v>96.0</v>
      </c>
      <c r="E6" s="158">
        <f t="shared" si="1"/>
        <v>96</v>
      </c>
    </row>
    <row r="7">
      <c r="A7" s="151">
        <v>45073.0</v>
      </c>
      <c r="B7" s="158" t="s">
        <v>212</v>
      </c>
      <c r="C7" s="158">
        <v>480.0</v>
      </c>
      <c r="D7" s="158"/>
      <c r="E7" s="158">
        <f t="shared" si="1"/>
        <v>576</v>
      </c>
    </row>
    <row r="8">
      <c r="A8" s="151"/>
      <c r="B8" s="158"/>
      <c r="C8" s="158"/>
      <c r="D8" s="161">
        <v>576.0</v>
      </c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E14/96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166" t="s">
        <v>366</v>
      </c>
      <c r="B1" s="167"/>
      <c r="C1" s="167"/>
      <c r="D1" s="167"/>
      <c r="E1" s="168"/>
    </row>
    <row r="2">
      <c r="A2" s="169"/>
      <c r="B2" s="9"/>
      <c r="C2" s="9"/>
      <c r="D2" s="9"/>
      <c r="E2" s="11"/>
    </row>
    <row r="3">
      <c r="A3" s="170" t="s">
        <v>8</v>
      </c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/>
      <c r="B4" s="158"/>
      <c r="C4" s="158"/>
      <c r="D4" s="173"/>
      <c r="E4" s="158">
        <v>48.0</v>
      </c>
    </row>
    <row r="5">
      <c r="A5" s="151">
        <v>44943.0</v>
      </c>
      <c r="B5" s="158" t="s">
        <v>212</v>
      </c>
      <c r="C5" s="158">
        <v>48.0</v>
      </c>
      <c r="D5" s="158"/>
      <c r="E5" s="158">
        <f t="shared" ref="E5:E14" si="1">E4+C5-D5</f>
        <v>96</v>
      </c>
    </row>
    <row r="6">
      <c r="A6" s="151">
        <v>44943.0</v>
      </c>
      <c r="B6" s="152" t="s">
        <v>206</v>
      </c>
      <c r="C6" s="158"/>
      <c r="D6" s="158">
        <v>4.0</v>
      </c>
      <c r="E6" s="158">
        <f t="shared" si="1"/>
        <v>92</v>
      </c>
    </row>
    <row r="7">
      <c r="A7" s="151"/>
      <c r="B7" s="158"/>
      <c r="C7" s="158"/>
      <c r="D7" s="161">
        <v>92.0</v>
      </c>
      <c r="E7" s="158">
        <f t="shared" si="1"/>
        <v>0</v>
      </c>
    </row>
    <row r="8">
      <c r="A8" s="151"/>
      <c r="B8" s="158"/>
      <c r="C8" s="158"/>
      <c r="D8" s="158"/>
      <c r="E8" s="158">
        <f t="shared" si="1"/>
        <v>0</v>
      </c>
    </row>
    <row r="9">
      <c r="A9" s="151"/>
      <c r="B9" s="158"/>
      <c r="C9" s="158"/>
      <c r="D9" s="158"/>
      <c r="E9" s="158">
        <f t="shared" si="1"/>
        <v>0</v>
      </c>
    </row>
    <row r="10">
      <c r="A10" s="151"/>
      <c r="B10" s="158"/>
      <c r="C10" s="158"/>
      <c r="D10" s="158"/>
      <c r="E10" s="158">
        <f t="shared" si="1"/>
        <v>0</v>
      </c>
    </row>
    <row r="11">
      <c r="A11" s="151"/>
      <c r="B11" s="158"/>
      <c r="C11" s="158"/>
      <c r="D11" s="158"/>
      <c r="E11" s="158">
        <f t="shared" si="1"/>
        <v>0</v>
      </c>
    </row>
    <row r="12">
      <c r="A12" s="151"/>
      <c r="B12" s="158"/>
      <c r="C12" s="158"/>
      <c r="D12" s="158"/>
      <c r="E12" s="158">
        <f t="shared" si="1"/>
        <v>0</v>
      </c>
    </row>
    <row r="13">
      <c r="A13" s="151"/>
      <c r="B13" s="158"/>
      <c r="C13" s="158"/>
      <c r="D13" s="158"/>
      <c r="E13" s="158">
        <f t="shared" si="1"/>
        <v>0</v>
      </c>
    </row>
    <row r="14">
      <c r="A14" s="151"/>
      <c r="B14" s="158"/>
      <c r="C14" s="158"/>
      <c r="D14" s="158"/>
      <c r="E14" s="158">
        <f t="shared" si="1"/>
        <v>0</v>
      </c>
    </row>
    <row r="15">
      <c r="E15" s="158">
        <f>E14/48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5.29"/>
    <col customWidth="1" min="3" max="3" width="16.86"/>
    <col customWidth="1" min="4" max="4" width="16.0"/>
    <col customWidth="1" min="5" max="5" width="20.43"/>
    <col customWidth="1" min="6" max="7" width="9.14"/>
    <col customWidth="1" min="8" max="8" width="14.29"/>
    <col customWidth="1" min="9" max="26" width="9.14"/>
  </cols>
  <sheetData>
    <row r="1">
      <c r="A1" s="166" t="s">
        <v>367</v>
      </c>
      <c r="B1" s="167"/>
      <c r="C1" s="167"/>
      <c r="D1" s="167"/>
      <c r="E1" s="168"/>
    </row>
    <row r="2">
      <c r="A2" s="169"/>
      <c r="B2" s="9"/>
      <c r="C2" s="9"/>
      <c r="D2" s="9"/>
      <c r="E2" s="11"/>
      <c r="G2" s="164">
        <v>25.0</v>
      </c>
    </row>
    <row r="3">
      <c r="A3" s="170"/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44935.0</v>
      </c>
      <c r="B4" s="188" t="s">
        <v>367</v>
      </c>
      <c r="C4" s="158">
        <v>7200.0</v>
      </c>
      <c r="D4" s="173"/>
      <c r="E4" s="158">
        <f>C4</f>
        <v>7200</v>
      </c>
    </row>
    <row r="5">
      <c r="A5" s="151">
        <v>44937.0</v>
      </c>
      <c r="B5" s="188" t="s">
        <v>369</v>
      </c>
      <c r="C5" s="158"/>
      <c r="D5" s="158">
        <v>360.0</v>
      </c>
      <c r="E5" s="158">
        <f t="shared" ref="E5:E27" si="1">E4-D5+C5</f>
        <v>6840</v>
      </c>
    </row>
    <row r="6">
      <c r="A6" s="151">
        <v>44939.0</v>
      </c>
      <c r="B6" s="188" t="s">
        <v>370</v>
      </c>
      <c r="C6" s="158"/>
      <c r="D6" s="158">
        <v>360.0</v>
      </c>
      <c r="E6" s="158">
        <f t="shared" si="1"/>
        <v>6480</v>
      </c>
    </row>
    <row r="7">
      <c r="A7" s="151">
        <v>44964.0</v>
      </c>
      <c r="B7" s="188" t="s">
        <v>248</v>
      </c>
      <c r="C7" s="158"/>
      <c r="D7" s="158">
        <v>360.0</v>
      </c>
      <c r="E7" s="158">
        <f t="shared" si="1"/>
        <v>6120</v>
      </c>
    </row>
    <row r="8">
      <c r="A8" s="151">
        <v>45048.0</v>
      </c>
      <c r="B8" s="158" t="s">
        <v>197</v>
      </c>
      <c r="C8" s="157"/>
      <c r="D8" s="158">
        <v>360.0</v>
      </c>
      <c r="E8" s="157">
        <f t="shared" si="1"/>
        <v>5760</v>
      </c>
    </row>
    <row r="9">
      <c r="A9" s="151">
        <v>45059.0</v>
      </c>
      <c r="B9" s="159" t="s">
        <v>205</v>
      </c>
      <c r="C9" s="158"/>
      <c r="D9" s="158">
        <v>360.0</v>
      </c>
      <c r="E9" s="157">
        <f t="shared" si="1"/>
        <v>5400</v>
      </c>
      <c r="H9" s="189"/>
    </row>
    <row r="10">
      <c r="A10" s="151">
        <v>45079.0</v>
      </c>
      <c r="B10" s="158" t="s">
        <v>214</v>
      </c>
      <c r="C10" s="158"/>
      <c r="D10" s="158">
        <v>180.0</v>
      </c>
      <c r="E10" s="157">
        <f t="shared" si="1"/>
        <v>5220</v>
      </c>
      <c r="H10" s="189"/>
    </row>
    <row r="11">
      <c r="A11" s="151">
        <v>45080.0</v>
      </c>
      <c r="B11" s="158" t="s">
        <v>325</v>
      </c>
      <c r="C11" s="158"/>
      <c r="D11" s="158">
        <v>120.0</v>
      </c>
      <c r="E11" s="157">
        <f t="shared" si="1"/>
        <v>5100</v>
      </c>
      <c r="H11" s="189"/>
    </row>
    <row r="12">
      <c r="A12" s="151">
        <v>45082.0</v>
      </c>
      <c r="B12" s="158" t="s">
        <v>197</v>
      </c>
      <c r="C12" s="158"/>
      <c r="D12" s="158">
        <v>60.0</v>
      </c>
      <c r="E12" s="157">
        <f t="shared" si="1"/>
        <v>5040</v>
      </c>
    </row>
    <row r="13">
      <c r="A13" s="151">
        <v>45085.0</v>
      </c>
      <c r="B13" s="158" t="s">
        <v>243</v>
      </c>
      <c r="C13" s="158"/>
      <c r="D13" s="158">
        <v>36.0</v>
      </c>
      <c r="E13" s="157">
        <f t="shared" si="1"/>
        <v>5004</v>
      </c>
    </row>
    <row r="14">
      <c r="A14" s="151">
        <v>45086.0</v>
      </c>
      <c r="B14" s="158" t="s">
        <v>192</v>
      </c>
      <c r="C14" s="158"/>
      <c r="D14" s="158">
        <v>24.0</v>
      </c>
      <c r="E14" s="157">
        <f t="shared" si="1"/>
        <v>4980</v>
      </c>
    </row>
    <row r="15">
      <c r="A15" s="151">
        <v>45087.0</v>
      </c>
      <c r="B15" s="158" t="s">
        <v>309</v>
      </c>
      <c r="C15" s="158"/>
      <c r="D15" s="158">
        <v>180.0</v>
      </c>
      <c r="E15" s="157">
        <f t="shared" si="1"/>
        <v>4800</v>
      </c>
    </row>
    <row r="16">
      <c r="A16" s="151">
        <v>45100.0</v>
      </c>
      <c r="B16" s="158" t="s">
        <v>205</v>
      </c>
      <c r="C16" s="158"/>
      <c r="D16" s="158">
        <v>90.0</v>
      </c>
      <c r="E16" s="157">
        <f t="shared" si="1"/>
        <v>4710</v>
      </c>
    </row>
    <row r="17">
      <c r="A17" s="151">
        <v>45101.0</v>
      </c>
      <c r="B17" s="158" t="s">
        <v>201</v>
      </c>
      <c r="C17" s="158"/>
      <c r="D17" s="158">
        <v>60.0</v>
      </c>
      <c r="E17" s="157">
        <f t="shared" si="1"/>
        <v>4650</v>
      </c>
    </row>
    <row r="18">
      <c r="A18" s="151">
        <v>45101.0</v>
      </c>
      <c r="B18" s="158" t="s">
        <v>373</v>
      </c>
      <c r="C18" s="158"/>
      <c r="D18" s="158">
        <v>72.0</v>
      </c>
      <c r="E18" s="157">
        <f t="shared" si="1"/>
        <v>4578</v>
      </c>
    </row>
    <row r="19">
      <c r="A19" s="151">
        <v>45103.0</v>
      </c>
      <c r="B19" s="158" t="s">
        <v>199</v>
      </c>
      <c r="C19" s="158"/>
      <c r="D19" s="158">
        <v>180.0</v>
      </c>
      <c r="E19" s="157">
        <f t="shared" si="1"/>
        <v>4398</v>
      </c>
    </row>
    <row r="20">
      <c r="A20" s="151">
        <v>45114.0</v>
      </c>
      <c r="B20" s="158" t="s">
        <v>325</v>
      </c>
      <c r="C20" s="158"/>
      <c r="D20" s="158">
        <v>360.0</v>
      </c>
      <c r="E20" s="157">
        <f t="shared" si="1"/>
        <v>4038</v>
      </c>
    </row>
    <row r="21" ht="15.75" customHeight="1">
      <c r="A21" s="151">
        <v>45120.0</v>
      </c>
      <c r="B21" s="158" t="s">
        <v>326</v>
      </c>
      <c r="C21" s="158"/>
      <c r="D21" s="158">
        <v>180.0</v>
      </c>
      <c r="E21" s="157">
        <f t="shared" si="1"/>
        <v>3858</v>
      </c>
    </row>
    <row r="22" ht="15.75" customHeight="1">
      <c r="A22" s="151">
        <v>45122.0</v>
      </c>
      <c r="B22" s="158" t="s">
        <v>200</v>
      </c>
      <c r="C22" s="158"/>
      <c r="D22" s="158">
        <v>48.0</v>
      </c>
      <c r="E22" s="157">
        <f t="shared" si="1"/>
        <v>3810</v>
      </c>
    </row>
    <row r="23" ht="15.75" customHeight="1">
      <c r="A23" s="151">
        <v>45132.0</v>
      </c>
      <c r="B23" s="158" t="s">
        <v>200</v>
      </c>
      <c r="C23" s="158"/>
      <c r="D23" s="158">
        <v>24.0</v>
      </c>
      <c r="E23" s="157">
        <f t="shared" si="1"/>
        <v>3786</v>
      </c>
    </row>
    <row r="24" ht="15.75" customHeight="1">
      <c r="A24" s="151">
        <v>45167.0</v>
      </c>
      <c r="B24" s="158" t="s">
        <v>324</v>
      </c>
      <c r="C24" s="158"/>
      <c r="D24" s="158">
        <v>180.0</v>
      </c>
      <c r="E24" s="157">
        <f t="shared" si="1"/>
        <v>3606</v>
      </c>
    </row>
    <row r="25" ht="15.75" customHeight="1">
      <c r="A25" s="151"/>
      <c r="B25" s="158"/>
      <c r="C25" s="158"/>
      <c r="D25" s="161">
        <v>3606.0</v>
      </c>
      <c r="E25" s="157">
        <f t="shared" si="1"/>
        <v>0</v>
      </c>
    </row>
    <row r="26" ht="15.75" customHeight="1">
      <c r="A26" s="151"/>
      <c r="B26" s="158"/>
      <c r="C26" s="158"/>
      <c r="D26" s="158"/>
      <c r="E26" s="157">
        <f t="shared" si="1"/>
        <v>0</v>
      </c>
    </row>
    <row r="27" ht="15.75" customHeight="1">
      <c r="A27" s="151"/>
      <c r="B27" s="158"/>
      <c r="C27" s="158"/>
      <c r="D27" s="158"/>
      <c r="E27" s="157">
        <f t="shared" si="1"/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5.29"/>
    <col customWidth="1" min="3" max="3" width="16.86"/>
    <col customWidth="1" min="4" max="4" width="16.0"/>
    <col customWidth="1" min="5" max="5" width="20.43"/>
    <col customWidth="1" min="6" max="7" width="9.14"/>
    <col customWidth="1" min="8" max="8" width="14.29"/>
    <col customWidth="1" min="9" max="26" width="9.14"/>
  </cols>
  <sheetData>
    <row r="1">
      <c r="A1" s="166" t="s">
        <v>368</v>
      </c>
      <c r="B1" s="167"/>
      <c r="C1" s="167"/>
      <c r="D1" s="167"/>
      <c r="E1" s="168"/>
    </row>
    <row r="2">
      <c r="A2" s="169"/>
      <c r="B2" s="9"/>
      <c r="C2" s="9"/>
      <c r="D2" s="9"/>
      <c r="E2" s="11"/>
      <c r="G2" s="164">
        <v>25.0</v>
      </c>
    </row>
    <row r="3">
      <c r="A3" s="170"/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45079.0</v>
      </c>
      <c r="B4" s="188" t="s">
        <v>368</v>
      </c>
      <c r="C4" s="158">
        <v>360.0</v>
      </c>
      <c r="D4" s="173"/>
      <c r="E4" s="158">
        <f>C4</f>
        <v>360</v>
      </c>
    </row>
    <row r="5">
      <c r="A5" s="151">
        <v>45079.0</v>
      </c>
      <c r="B5" s="188" t="s">
        <v>214</v>
      </c>
      <c r="C5" s="158"/>
      <c r="D5" s="158">
        <v>180.0</v>
      </c>
      <c r="E5" s="158">
        <f t="shared" ref="E5:E16" si="1">E4-D5+C5</f>
        <v>180</v>
      </c>
    </row>
    <row r="6">
      <c r="A6" s="151">
        <v>45080.0</v>
      </c>
      <c r="B6" s="188" t="s">
        <v>336</v>
      </c>
      <c r="C6" s="158"/>
      <c r="D6" s="158">
        <v>12.0</v>
      </c>
      <c r="E6" s="158">
        <f t="shared" si="1"/>
        <v>168</v>
      </c>
    </row>
    <row r="7">
      <c r="A7" s="151">
        <v>45100.0</v>
      </c>
      <c r="B7" s="188" t="s">
        <v>204</v>
      </c>
      <c r="C7" s="158">
        <v>360.0</v>
      </c>
      <c r="D7" s="158"/>
      <c r="E7" s="158">
        <f t="shared" si="1"/>
        <v>528</v>
      </c>
    </row>
    <row r="8">
      <c r="A8" s="151">
        <v>45100.0</v>
      </c>
      <c r="B8" s="158" t="s">
        <v>246</v>
      </c>
      <c r="C8" s="157"/>
      <c r="D8" s="158">
        <v>120.0</v>
      </c>
      <c r="E8" s="157">
        <f t="shared" si="1"/>
        <v>408</v>
      </c>
    </row>
    <row r="9">
      <c r="A9" s="151">
        <v>45100.0</v>
      </c>
      <c r="B9" s="159" t="s">
        <v>371</v>
      </c>
      <c r="C9" s="158"/>
      <c r="D9" s="158">
        <v>12.0</v>
      </c>
      <c r="E9" s="157">
        <f t="shared" si="1"/>
        <v>396</v>
      </c>
      <c r="H9" s="189"/>
    </row>
    <row r="10">
      <c r="A10" s="151">
        <v>45100.0</v>
      </c>
      <c r="B10" s="158" t="s">
        <v>205</v>
      </c>
      <c r="C10" s="158"/>
      <c r="D10" s="158">
        <v>48.0</v>
      </c>
      <c r="E10" s="157">
        <f t="shared" si="1"/>
        <v>348</v>
      </c>
      <c r="H10" s="189"/>
    </row>
    <row r="11">
      <c r="A11" s="151">
        <v>45101.0</v>
      </c>
      <c r="B11" s="158" t="s">
        <v>373</v>
      </c>
      <c r="C11" s="158"/>
      <c r="D11" s="158">
        <v>72.0</v>
      </c>
      <c r="E11" s="157">
        <f t="shared" si="1"/>
        <v>276</v>
      </c>
      <c r="H11" s="189"/>
    </row>
    <row r="12">
      <c r="A12" s="151">
        <v>45103.0</v>
      </c>
      <c r="B12" s="158" t="s">
        <v>199</v>
      </c>
      <c r="C12" s="158"/>
      <c r="D12" s="158">
        <v>120.0</v>
      </c>
      <c r="E12" s="157">
        <f t="shared" si="1"/>
        <v>156</v>
      </c>
    </row>
    <row r="13">
      <c r="A13" s="151">
        <v>45131.0</v>
      </c>
      <c r="B13" s="158" t="s">
        <v>374</v>
      </c>
      <c r="C13" s="158"/>
      <c r="D13" s="158">
        <v>120.0</v>
      </c>
      <c r="E13" s="157">
        <f t="shared" si="1"/>
        <v>36</v>
      </c>
    </row>
    <row r="14">
      <c r="A14" s="151">
        <v>45132.0</v>
      </c>
      <c r="B14" s="158" t="s">
        <v>219</v>
      </c>
      <c r="C14" s="158"/>
      <c r="D14" s="158">
        <v>24.0</v>
      </c>
      <c r="E14" s="157">
        <f t="shared" si="1"/>
        <v>12</v>
      </c>
    </row>
    <row r="15">
      <c r="A15" s="151"/>
      <c r="B15" s="158"/>
      <c r="C15" s="158"/>
      <c r="D15" s="161">
        <v>12.0</v>
      </c>
      <c r="E15" s="157">
        <f t="shared" si="1"/>
        <v>0</v>
      </c>
    </row>
    <row r="16">
      <c r="A16" s="151"/>
      <c r="B16" s="158"/>
      <c r="C16" s="158"/>
      <c r="D16" s="158"/>
      <c r="E16" s="15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5.29"/>
    <col customWidth="1" min="3" max="3" width="16.86"/>
    <col customWidth="1" min="4" max="4" width="16.0"/>
    <col customWidth="1" min="5" max="5" width="20.43"/>
    <col customWidth="1" min="6" max="7" width="9.14"/>
    <col customWidth="1" min="8" max="8" width="14.29"/>
    <col customWidth="1" min="9" max="26" width="9.14"/>
  </cols>
  <sheetData>
    <row r="1">
      <c r="A1" s="166" t="s">
        <v>372</v>
      </c>
      <c r="B1" s="167"/>
      <c r="C1" s="167"/>
      <c r="D1" s="167"/>
      <c r="E1" s="168"/>
    </row>
    <row r="2">
      <c r="A2" s="169"/>
      <c r="B2" s="9"/>
      <c r="C2" s="9"/>
      <c r="D2" s="9"/>
      <c r="E2" s="11"/>
      <c r="G2" s="164">
        <v>25.0</v>
      </c>
    </row>
    <row r="3">
      <c r="A3" s="170"/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45101.0</v>
      </c>
      <c r="B4" s="188" t="s">
        <v>372</v>
      </c>
      <c r="C4" s="158">
        <v>360.0</v>
      </c>
      <c r="D4" s="173"/>
      <c r="E4" s="158">
        <f>C4</f>
        <v>360</v>
      </c>
    </row>
    <row r="5">
      <c r="A5" s="151">
        <v>45101.0</v>
      </c>
      <c r="B5" s="188" t="s">
        <v>373</v>
      </c>
      <c r="C5" s="158"/>
      <c r="D5" s="158">
        <v>180.0</v>
      </c>
      <c r="E5" s="158">
        <f t="shared" ref="E5:E16" si="1">E4-D5+C5</f>
        <v>180</v>
      </c>
    </row>
    <row r="6">
      <c r="A6" s="151">
        <v>45103.0</v>
      </c>
      <c r="B6" s="188" t="s">
        <v>336</v>
      </c>
      <c r="C6" s="158"/>
      <c r="D6" s="158">
        <v>12.0</v>
      </c>
      <c r="E6" s="158">
        <f t="shared" si="1"/>
        <v>168</v>
      </c>
    </row>
    <row r="7">
      <c r="A7" s="151"/>
      <c r="B7" s="188"/>
      <c r="C7" s="158"/>
      <c r="D7" s="161">
        <v>168.0</v>
      </c>
      <c r="E7" s="158">
        <f t="shared" si="1"/>
        <v>0</v>
      </c>
    </row>
    <row r="8">
      <c r="A8" s="151"/>
      <c r="B8" s="158"/>
      <c r="C8" s="157"/>
      <c r="D8" s="158"/>
      <c r="E8" s="157">
        <f t="shared" si="1"/>
        <v>0</v>
      </c>
    </row>
    <row r="9">
      <c r="A9" s="151"/>
      <c r="B9" s="152"/>
      <c r="C9" s="158"/>
      <c r="D9" s="158"/>
      <c r="E9" s="157">
        <f t="shared" si="1"/>
        <v>0</v>
      </c>
      <c r="H9" s="189"/>
    </row>
    <row r="10">
      <c r="A10" s="151"/>
      <c r="B10" s="158"/>
      <c r="C10" s="158"/>
      <c r="D10" s="158"/>
      <c r="E10" s="157">
        <f t="shared" si="1"/>
        <v>0</v>
      </c>
      <c r="H10" s="189"/>
    </row>
    <row r="11">
      <c r="A11" s="151"/>
      <c r="B11" s="158"/>
      <c r="C11" s="158"/>
      <c r="D11" s="158"/>
      <c r="E11" s="157">
        <f t="shared" si="1"/>
        <v>0</v>
      </c>
      <c r="H11" s="189"/>
    </row>
    <row r="12">
      <c r="A12" s="151"/>
      <c r="B12" s="158"/>
      <c r="C12" s="158"/>
      <c r="D12" s="158"/>
      <c r="E12" s="157">
        <f t="shared" si="1"/>
        <v>0</v>
      </c>
    </row>
    <row r="13">
      <c r="A13" s="151"/>
      <c r="B13" s="158"/>
      <c r="C13" s="158"/>
      <c r="D13" s="158"/>
      <c r="E13" s="157">
        <f t="shared" si="1"/>
        <v>0</v>
      </c>
    </row>
    <row r="14">
      <c r="A14" s="151"/>
      <c r="B14" s="158"/>
      <c r="C14" s="158"/>
      <c r="D14" s="158"/>
      <c r="E14" s="157">
        <f t="shared" si="1"/>
        <v>0</v>
      </c>
    </row>
    <row r="15">
      <c r="A15" s="151"/>
      <c r="B15" s="158"/>
      <c r="C15" s="158"/>
      <c r="D15" s="158"/>
      <c r="E15" s="157">
        <f t="shared" si="1"/>
        <v>0</v>
      </c>
    </row>
    <row r="16">
      <c r="A16" s="151"/>
      <c r="B16" s="158"/>
      <c r="C16" s="158"/>
      <c r="D16" s="158"/>
      <c r="E16" s="15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5.29"/>
    <col customWidth="1" min="3" max="3" width="16.86"/>
    <col customWidth="1" min="4" max="4" width="16.0"/>
    <col customWidth="1" min="5" max="5" width="20.43"/>
    <col customWidth="1" min="6" max="7" width="9.14"/>
    <col customWidth="1" min="8" max="8" width="14.29"/>
    <col customWidth="1" min="9" max="26" width="9.14"/>
  </cols>
  <sheetData>
    <row r="1">
      <c r="A1" s="166" t="s">
        <v>375</v>
      </c>
      <c r="B1" s="167"/>
      <c r="C1" s="167"/>
      <c r="D1" s="167"/>
      <c r="E1" s="168"/>
    </row>
    <row r="2">
      <c r="A2" s="169"/>
      <c r="B2" s="9"/>
      <c r="C2" s="9"/>
      <c r="D2" s="9"/>
      <c r="E2" s="11"/>
      <c r="G2" s="164">
        <v>25.0</v>
      </c>
    </row>
    <row r="3">
      <c r="A3" s="170"/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45080.0</v>
      </c>
      <c r="B4" s="188" t="s">
        <v>375</v>
      </c>
      <c r="C4" s="158">
        <v>360.0</v>
      </c>
      <c r="D4" s="173"/>
      <c r="E4" s="158">
        <f>C4</f>
        <v>360</v>
      </c>
    </row>
    <row r="5">
      <c r="A5" s="151">
        <v>45080.0</v>
      </c>
      <c r="B5" s="188" t="s">
        <v>336</v>
      </c>
      <c r="C5" s="158"/>
      <c r="D5" s="158">
        <v>60.0</v>
      </c>
      <c r="E5" s="158">
        <f t="shared" ref="E5:E16" si="1">E4-D5+C5</f>
        <v>300</v>
      </c>
    </row>
    <row r="6">
      <c r="A6" s="151">
        <v>45085.0</v>
      </c>
      <c r="B6" s="188" t="s">
        <v>207</v>
      </c>
      <c r="C6" s="158"/>
      <c r="D6" s="158">
        <v>36.0</v>
      </c>
      <c r="E6" s="158">
        <f t="shared" si="1"/>
        <v>264</v>
      </c>
    </row>
    <row r="7">
      <c r="A7" s="151">
        <v>45086.0</v>
      </c>
      <c r="B7" s="188" t="s">
        <v>376</v>
      </c>
      <c r="C7" s="158"/>
      <c r="D7" s="158">
        <v>24.0</v>
      </c>
      <c r="E7" s="158">
        <f t="shared" si="1"/>
        <v>240</v>
      </c>
    </row>
    <row r="8">
      <c r="A8" s="151">
        <v>45087.0</v>
      </c>
      <c r="B8" s="158" t="s">
        <v>377</v>
      </c>
      <c r="C8" s="157"/>
      <c r="D8" s="158">
        <v>180.0</v>
      </c>
      <c r="E8" s="157">
        <f t="shared" si="1"/>
        <v>60</v>
      </c>
    </row>
    <row r="9">
      <c r="A9" s="151">
        <v>45100.0</v>
      </c>
      <c r="B9" s="159" t="s">
        <v>204</v>
      </c>
      <c r="C9" s="158">
        <v>360.0</v>
      </c>
      <c r="D9" s="158"/>
      <c r="E9" s="157">
        <f t="shared" si="1"/>
        <v>420</v>
      </c>
      <c r="H9" s="189"/>
    </row>
    <row r="10">
      <c r="A10" s="151">
        <v>45100.0</v>
      </c>
      <c r="B10" s="158" t="s">
        <v>371</v>
      </c>
      <c r="C10" s="158"/>
      <c r="D10" s="158">
        <v>12.0</v>
      </c>
      <c r="E10" s="157">
        <f t="shared" si="1"/>
        <v>408</v>
      </c>
      <c r="H10" s="189"/>
    </row>
    <row r="11">
      <c r="A11" s="151">
        <v>45100.0</v>
      </c>
      <c r="B11" s="158" t="s">
        <v>205</v>
      </c>
      <c r="C11" s="158"/>
      <c r="D11" s="158">
        <v>90.0</v>
      </c>
      <c r="E11" s="157">
        <f t="shared" si="1"/>
        <v>318</v>
      </c>
      <c r="H11" s="189"/>
    </row>
    <row r="12">
      <c r="A12" s="151">
        <v>45101.0</v>
      </c>
      <c r="B12" s="158" t="s">
        <v>373</v>
      </c>
      <c r="C12" s="158"/>
      <c r="D12" s="158">
        <v>72.0</v>
      </c>
      <c r="E12" s="157">
        <f t="shared" si="1"/>
        <v>246</v>
      </c>
    </row>
    <row r="13">
      <c r="A13" s="151">
        <v>45103.0</v>
      </c>
      <c r="B13" s="158" t="s">
        <v>379</v>
      </c>
      <c r="C13" s="158"/>
      <c r="D13" s="158">
        <v>180.0</v>
      </c>
      <c r="E13" s="157">
        <f t="shared" si="1"/>
        <v>66</v>
      </c>
    </row>
    <row r="14">
      <c r="A14" s="151">
        <v>45120.0</v>
      </c>
      <c r="B14" s="158" t="s">
        <v>326</v>
      </c>
      <c r="C14" s="158"/>
      <c r="D14" s="158">
        <v>66.0</v>
      </c>
      <c r="E14" s="157">
        <f t="shared" si="1"/>
        <v>0</v>
      </c>
    </row>
    <row r="15">
      <c r="A15" s="151"/>
      <c r="B15" s="158"/>
      <c r="C15" s="158"/>
      <c r="D15" s="158"/>
      <c r="E15" s="157">
        <f t="shared" si="1"/>
        <v>0</v>
      </c>
    </row>
    <row r="16">
      <c r="A16" s="151"/>
      <c r="B16" s="158"/>
      <c r="C16" s="158"/>
      <c r="D16" s="158"/>
      <c r="E16" s="15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55.29"/>
    <col customWidth="1" min="3" max="3" width="16.86"/>
    <col customWidth="1" min="4" max="4" width="16.0"/>
    <col customWidth="1" min="5" max="5" width="20.43"/>
    <col customWidth="1" min="6" max="7" width="9.14"/>
    <col customWidth="1" min="8" max="8" width="14.29"/>
    <col customWidth="1" min="9" max="26" width="9.14"/>
  </cols>
  <sheetData>
    <row r="1">
      <c r="A1" s="166" t="s">
        <v>378</v>
      </c>
      <c r="B1" s="167"/>
      <c r="C1" s="167"/>
      <c r="D1" s="167"/>
      <c r="E1" s="168"/>
    </row>
    <row r="2">
      <c r="A2" s="169"/>
      <c r="B2" s="9"/>
      <c r="C2" s="9"/>
      <c r="D2" s="9"/>
      <c r="E2" s="11"/>
      <c r="G2" s="164">
        <v>25.0</v>
      </c>
    </row>
    <row r="3">
      <c r="A3" s="170"/>
      <c r="B3" s="170" t="s">
        <v>189</v>
      </c>
      <c r="C3" s="170" t="s">
        <v>190</v>
      </c>
      <c r="D3" s="170" t="s">
        <v>191</v>
      </c>
      <c r="E3" s="170" t="s">
        <v>16</v>
      </c>
    </row>
    <row r="4">
      <c r="A4" s="151">
        <v>45079.0</v>
      </c>
      <c r="B4" s="188" t="s">
        <v>378</v>
      </c>
      <c r="C4" s="158">
        <v>1000.0</v>
      </c>
      <c r="D4" s="173"/>
      <c r="E4" s="158">
        <f>C4</f>
        <v>1000</v>
      </c>
    </row>
    <row r="5">
      <c r="A5" s="151">
        <v>45079.0</v>
      </c>
      <c r="B5" s="188" t="s">
        <v>214</v>
      </c>
      <c r="C5" s="158"/>
      <c r="D5" s="158">
        <v>125.0</v>
      </c>
      <c r="E5" s="158">
        <f t="shared" ref="E5:E26" si="1">E4-D5+C5</f>
        <v>875</v>
      </c>
    </row>
    <row r="6">
      <c r="A6" s="151">
        <v>45079.0</v>
      </c>
      <c r="B6" s="188" t="s">
        <v>380</v>
      </c>
      <c r="C6" s="158"/>
      <c r="D6" s="158">
        <v>500.0</v>
      </c>
      <c r="E6" s="158">
        <f t="shared" si="1"/>
        <v>375</v>
      </c>
    </row>
    <row r="7">
      <c r="A7" s="151">
        <v>45080.0</v>
      </c>
      <c r="B7" s="188" t="s">
        <v>381</v>
      </c>
      <c r="C7" s="158"/>
      <c r="D7" s="158">
        <v>50.0</v>
      </c>
      <c r="E7" s="158">
        <f t="shared" si="1"/>
        <v>325</v>
      </c>
    </row>
    <row r="8">
      <c r="A8" s="151">
        <v>45080.0</v>
      </c>
      <c r="B8" s="158" t="s">
        <v>382</v>
      </c>
      <c r="C8" s="157"/>
      <c r="D8" s="158">
        <v>50.0</v>
      </c>
      <c r="E8" s="157">
        <f t="shared" si="1"/>
        <v>275</v>
      </c>
    </row>
    <row r="9">
      <c r="A9" s="151">
        <v>45080.0</v>
      </c>
      <c r="B9" s="159" t="s">
        <v>383</v>
      </c>
      <c r="C9" s="158"/>
      <c r="D9" s="158">
        <v>75.0</v>
      </c>
      <c r="E9" s="157">
        <f t="shared" si="1"/>
        <v>200</v>
      </c>
      <c r="H9" s="189"/>
    </row>
    <row r="10">
      <c r="A10" s="151">
        <v>45086.0</v>
      </c>
      <c r="B10" s="158" t="s">
        <v>376</v>
      </c>
      <c r="C10" s="158"/>
      <c r="D10" s="158">
        <v>50.0</v>
      </c>
      <c r="E10" s="157">
        <f t="shared" si="1"/>
        <v>150</v>
      </c>
      <c r="H10" s="189"/>
    </row>
    <row r="11">
      <c r="A11" s="151">
        <v>45087.0</v>
      </c>
      <c r="B11" s="158" t="s">
        <v>385</v>
      </c>
      <c r="C11" s="158"/>
      <c r="D11" s="158">
        <v>25.0</v>
      </c>
      <c r="E11" s="157">
        <f t="shared" si="1"/>
        <v>125</v>
      </c>
      <c r="H11" s="189"/>
    </row>
    <row r="12">
      <c r="A12" s="151">
        <v>45091.0</v>
      </c>
      <c r="B12" s="158" t="s">
        <v>219</v>
      </c>
      <c r="C12" s="158"/>
      <c r="D12" s="158">
        <v>25.0</v>
      </c>
      <c r="E12" s="157">
        <f t="shared" si="1"/>
        <v>100</v>
      </c>
    </row>
    <row r="13">
      <c r="A13" s="151">
        <v>45093.0</v>
      </c>
      <c r="B13" s="158" t="s">
        <v>219</v>
      </c>
      <c r="C13" s="158"/>
      <c r="D13" s="158">
        <v>25.0</v>
      </c>
      <c r="E13" s="157">
        <f t="shared" si="1"/>
        <v>75</v>
      </c>
    </row>
    <row r="14">
      <c r="A14" s="151">
        <v>45094.0</v>
      </c>
      <c r="B14" s="158" t="s">
        <v>385</v>
      </c>
      <c r="C14" s="158"/>
      <c r="D14" s="158">
        <v>50.0</v>
      </c>
      <c r="E14" s="157">
        <f t="shared" si="1"/>
        <v>25</v>
      </c>
    </row>
    <row r="15">
      <c r="A15" s="151">
        <v>45100.0</v>
      </c>
      <c r="B15" s="158" t="s">
        <v>371</v>
      </c>
      <c r="C15" s="158"/>
      <c r="D15" s="158">
        <v>25.0</v>
      </c>
      <c r="E15" s="157">
        <f t="shared" si="1"/>
        <v>0</v>
      </c>
    </row>
    <row r="16">
      <c r="A16" s="151">
        <v>45103.0</v>
      </c>
      <c r="B16" s="158" t="s">
        <v>212</v>
      </c>
      <c r="C16" s="158">
        <v>500.0</v>
      </c>
      <c r="D16" s="158"/>
      <c r="E16" s="157">
        <f t="shared" si="1"/>
        <v>500</v>
      </c>
    </row>
    <row r="17">
      <c r="A17" s="151">
        <v>45103.0</v>
      </c>
      <c r="B17" s="158" t="s">
        <v>199</v>
      </c>
      <c r="C17" s="158"/>
      <c r="D17" s="158">
        <v>250.0</v>
      </c>
      <c r="E17" s="157">
        <f t="shared" si="1"/>
        <v>250</v>
      </c>
    </row>
    <row r="18">
      <c r="A18" s="151">
        <v>45103.0</v>
      </c>
      <c r="B18" s="158" t="s">
        <v>219</v>
      </c>
      <c r="C18" s="158"/>
      <c r="D18" s="158">
        <v>50.0</v>
      </c>
      <c r="E18" s="157">
        <f t="shared" si="1"/>
        <v>200</v>
      </c>
    </row>
    <row r="19">
      <c r="A19" s="151">
        <v>45111.0</v>
      </c>
      <c r="B19" s="158" t="s">
        <v>230</v>
      </c>
      <c r="C19" s="158"/>
      <c r="D19" s="158">
        <v>25.0</v>
      </c>
      <c r="E19" s="157">
        <f t="shared" si="1"/>
        <v>175</v>
      </c>
    </row>
    <row r="20">
      <c r="A20" s="151">
        <v>45111.0</v>
      </c>
      <c r="B20" s="158" t="s">
        <v>388</v>
      </c>
      <c r="C20" s="158"/>
      <c r="D20" s="158">
        <v>25.0</v>
      </c>
      <c r="E20" s="157">
        <f t="shared" si="1"/>
        <v>150</v>
      </c>
    </row>
    <row r="21" ht="15.75" customHeight="1">
      <c r="A21" s="151">
        <v>45125.0</v>
      </c>
      <c r="B21" s="158" t="s">
        <v>389</v>
      </c>
      <c r="C21" s="158"/>
      <c r="D21" s="158">
        <v>50.0</v>
      </c>
      <c r="E21" s="157">
        <f t="shared" si="1"/>
        <v>100</v>
      </c>
    </row>
    <row r="22" ht="15.75" customHeight="1">
      <c r="A22" s="151">
        <v>45127.0</v>
      </c>
      <c r="B22" s="158" t="s">
        <v>213</v>
      </c>
      <c r="C22" s="158"/>
      <c r="D22" s="158">
        <v>100.0</v>
      </c>
      <c r="E22" s="157">
        <f t="shared" si="1"/>
        <v>0</v>
      </c>
    </row>
    <row r="23" ht="15.75" customHeight="1">
      <c r="A23" s="151"/>
      <c r="B23" s="158"/>
      <c r="C23" s="158"/>
      <c r="D23" s="158"/>
      <c r="E23" s="157">
        <f t="shared" si="1"/>
        <v>0</v>
      </c>
    </row>
    <row r="24" ht="15.75" customHeight="1">
      <c r="A24" s="151"/>
      <c r="B24" s="158"/>
      <c r="C24" s="158"/>
      <c r="D24" s="158"/>
      <c r="E24" s="157">
        <f t="shared" si="1"/>
        <v>0</v>
      </c>
    </row>
    <row r="25" ht="15.75" customHeight="1">
      <c r="A25" s="151"/>
      <c r="B25" s="158"/>
      <c r="C25" s="158"/>
      <c r="D25" s="158"/>
      <c r="E25" s="157">
        <f t="shared" si="1"/>
        <v>0</v>
      </c>
    </row>
    <row r="26" ht="15.75" customHeight="1">
      <c r="A26" s="151"/>
      <c r="B26" s="158"/>
      <c r="C26" s="158"/>
      <c r="D26" s="158"/>
      <c r="E26" s="157">
        <f t="shared" si="1"/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384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384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48.0</v>
      </c>
      <c r="E5" s="196">
        <f t="shared" ref="E5:E16" si="1">E4+C5-D5</f>
        <v>72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60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48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36</v>
      </c>
    </row>
    <row r="9">
      <c r="A9" s="192">
        <v>45103.0</v>
      </c>
      <c r="B9" s="198" t="s">
        <v>199</v>
      </c>
      <c r="C9" s="196"/>
      <c r="D9" s="196">
        <v>36.0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387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387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48.0</v>
      </c>
      <c r="E5" s="196">
        <f t="shared" ref="E5:E16" si="1">E4+C5-D5</f>
        <v>72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60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48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36</v>
      </c>
    </row>
    <row r="9">
      <c r="A9" s="201"/>
      <c r="B9" s="200"/>
      <c r="C9" s="196"/>
      <c r="D9" s="202">
        <v>36.0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390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390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48.0</v>
      </c>
      <c r="E5" s="196">
        <f t="shared" ref="E5:E16" si="1">E4+C5-D5</f>
        <v>72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60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48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36</v>
      </c>
    </row>
    <row r="9">
      <c r="A9" s="192">
        <v>45113.0</v>
      </c>
      <c r="B9" s="198" t="s">
        <v>246</v>
      </c>
      <c r="C9" s="196"/>
      <c r="D9" s="196">
        <v>24.0</v>
      </c>
      <c r="E9" s="196">
        <f t="shared" si="1"/>
        <v>12</v>
      </c>
    </row>
    <row r="10">
      <c r="A10" s="199"/>
      <c r="B10" s="200"/>
      <c r="C10" s="196"/>
      <c r="D10" s="202">
        <v>12.0</v>
      </c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391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391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48.0</v>
      </c>
      <c r="E5" s="196">
        <f t="shared" ref="E5:E16" si="1">E4+C5-D5</f>
        <v>72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60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48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36</v>
      </c>
    </row>
    <row r="9">
      <c r="A9" s="201"/>
      <c r="B9" s="200"/>
      <c r="C9" s="196"/>
      <c r="D9" s="202">
        <v>36.0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392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392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42.0</v>
      </c>
      <c r="E5" s="196">
        <f t="shared" ref="E5:E16" si="1">E4+C5-D5</f>
        <v>78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66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54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42</v>
      </c>
    </row>
    <row r="9">
      <c r="A9" s="201"/>
      <c r="B9" s="200"/>
      <c r="C9" s="196"/>
      <c r="D9" s="202">
        <v>42.0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393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393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42.0</v>
      </c>
      <c r="E5" s="196">
        <f t="shared" ref="E5:E16" si="1">E4+C5-D5</f>
        <v>78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66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54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42</v>
      </c>
    </row>
    <row r="9">
      <c r="A9" s="201"/>
      <c r="B9" s="200"/>
      <c r="C9" s="196"/>
      <c r="D9" s="202">
        <v>42.0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394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394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42.0</v>
      </c>
      <c r="E5" s="196">
        <f t="shared" ref="E5:E16" si="1">E4+C5-D5</f>
        <v>78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66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54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42</v>
      </c>
    </row>
    <row r="9">
      <c r="A9" s="201"/>
      <c r="B9" s="200"/>
      <c r="C9" s="196"/>
      <c r="D9" s="202">
        <v>42.0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395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395</v>
      </c>
      <c r="C4" s="194">
        <v>120.0</v>
      </c>
      <c r="D4" s="194"/>
      <c r="E4" s="194">
        <f>C4</f>
        <v>120</v>
      </c>
    </row>
    <row r="5">
      <c r="A5" s="192">
        <v>45079.0</v>
      </c>
      <c r="B5" s="195" t="s">
        <v>22</v>
      </c>
      <c r="C5" s="196"/>
      <c r="D5" s="196">
        <v>42.0</v>
      </c>
      <c r="E5" s="196">
        <f t="shared" ref="E5:E16" si="1">E4+C5-D5</f>
        <v>78</v>
      </c>
    </row>
    <row r="6">
      <c r="A6" s="192">
        <v>45086.0</v>
      </c>
      <c r="B6" s="197" t="s">
        <v>376</v>
      </c>
      <c r="C6" s="196"/>
      <c r="D6" s="196">
        <v>12.0</v>
      </c>
      <c r="E6" s="196">
        <f t="shared" si="1"/>
        <v>66</v>
      </c>
    </row>
    <row r="7">
      <c r="A7" s="192">
        <v>45093.0</v>
      </c>
      <c r="B7" s="197" t="s">
        <v>219</v>
      </c>
      <c r="C7" s="196"/>
      <c r="D7" s="196">
        <v>12.0</v>
      </c>
      <c r="E7" s="196">
        <f t="shared" si="1"/>
        <v>54</v>
      </c>
    </row>
    <row r="8">
      <c r="A8" s="192">
        <v>45100.0</v>
      </c>
      <c r="B8" s="198" t="s">
        <v>246</v>
      </c>
      <c r="C8" s="196"/>
      <c r="D8" s="196">
        <v>12.0</v>
      </c>
      <c r="E8" s="196">
        <f t="shared" si="1"/>
        <v>42</v>
      </c>
    </row>
    <row r="9">
      <c r="A9" s="201"/>
      <c r="B9" s="200"/>
      <c r="C9" s="196"/>
      <c r="D9" s="202">
        <v>42.0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396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45082.0</v>
      </c>
      <c r="B4" s="193" t="s">
        <v>396</v>
      </c>
      <c r="C4" s="194">
        <v>24.0</v>
      </c>
      <c r="D4" s="194"/>
      <c r="E4" s="194">
        <f>C4</f>
        <v>24</v>
      </c>
    </row>
    <row r="5">
      <c r="A5" s="192">
        <v>45082.0</v>
      </c>
      <c r="B5" s="195" t="s">
        <v>207</v>
      </c>
      <c r="C5" s="196"/>
      <c r="D5" s="196">
        <v>6.0</v>
      </c>
      <c r="E5" s="196">
        <f t="shared" ref="E5:E16" si="1">E4+C5-D5</f>
        <v>18</v>
      </c>
    </row>
    <row r="6">
      <c r="A6" s="192">
        <v>45082.0</v>
      </c>
      <c r="B6" s="197" t="s">
        <v>214</v>
      </c>
      <c r="C6" s="196"/>
      <c r="D6" s="196">
        <v>6.0</v>
      </c>
      <c r="E6" s="196">
        <f t="shared" si="1"/>
        <v>12</v>
      </c>
    </row>
    <row r="7">
      <c r="A7" s="192">
        <v>45085.0</v>
      </c>
      <c r="B7" s="209" t="s">
        <v>398</v>
      </c>
      <c r="C7" s="196"/>
      <c r="D7" s="196">
        <v>6.0</v>
      </c>
      <c r="E7" s="196">
        <f t="shared" si="1"/>
        <v>6</v>
      </c>
    </row>
    <row r="8">
      <c r="A8" s="192">
        <v>45093.0</v>
      </c>
      <c r="B8" s="200" t="s">
        <v>219</v>
      </c>
      <c r="C8" s="196"/>
      <c r="D8" s="196">
        <v>4.0</v>
      </c>
      <c r="E8" s="196">
        <f t="shared" si="1"/>
        <v>2</v>
      </c>
    </row>
    <row r="9">
      <c r="A9" s="201"/>
      <c r="B9" s="200"/>
      <c r="C9" s="196"/>
      <c r="D9" s="202">
        <v>2.0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15.0" customHeight="1">
      <c r="A1" s="190" t="s">
        <v>397</v>
      </c>
      <c r="B1" s="4"/>
      <c r="C1" s="4"/>
      <c r="D1" s="4"/>
      <c r="E1" s="7"/>
    </row>
    <row r="2" ht="15.0" customHeight="1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45082.0</v>
      </c>
      <c r="B4" s="193" t="s">
        <v>397</v>
      </c>
      <c r="C4" s="194">
        <v>24.0</v>
      </c>
      <c r="D4" s="194"/>
      <c r="E4" s="194">
        <f>C4</f>
        <v>24</v>
      </c>
    </row>
    <row r="5">
      <c r="A5" s="192">
        <v>45082.0</v>
      </c>
      <c r="B5" s="195" t="s">
        <v>207</v>
      </c>
      <c r="C5" s="196"/>
      <c r="D5" s="196">
        <v>6.0</v>
      </c>
      <c r="E5" s="196">
        <f t="shared" ref="E5:E16" si="1">E4+C5-D5</f>
        <v>18</v>
      </c>
    </row>
    <row r="6">
      <c r="A6" s="192">
        <v>45082.0</v>
      </c>
      <c r="B6" s="197" t="s">
        <v>214</v>
      </c>
      <c r="C6" s="196"/>
      <c r="D6" s="196">
        <v>6.0</v>
      </c>
      <c r="E6" s="196">
        <f t="shared" si="1"/>
        <v>12</v>
      </c>
    </row>
    <row r="7">
      <c r="A7" s="192">
        <v>45085.0</v>
      </c>
      <c r="B7" s="209" t="s">
        <v>398</v>
      </c>
      <c r="C7" s="196"/>
      <c r="D7" s="196">
        <v>6.0</v>
      </c>
      <c r="E7" s="196">
        <f t="shared" si="1"/>
        <v>6</v>
      </c>
    </row>
    <row r="8">
      <c r="A8" s="201"/>
      <c r="B8" s="200"/>
      <c r="C8" s="196"/>
      <c r="D8" s="202">
        <v>6.0</v>
      </c>
      <c r="E8" s="196">
        <f t="shared" si="1"/>
        <v>0</v>
      </c>
    </row>
    <row r="9">
      <c r="A9" s="201"/>
      <c r="B9" s="200"/>
      <c r="C9" s="196"/>
      <c r="D9" s="196"/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15.0" customHeight="1">
      <c r="A1" s="190" t="s">
        <v>399</v>
      </c>
      <c r="B1" s="4"/>
      <c r="C1" s="4"/>
      <c r="D1" s="4"/>
      <c r="E1" s="7"/>
    </row>
    <row r="2" ht="15.0" customHeight="1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45082.0</v>
      </c>
      <c r="B4" s="193" t="s">
        <v>399</v>
      </c>
      <c r="C4" s="194">
        <v>24.0</v>
      </c>
      <c r="D4" s="194"/>
      <c r="E4" s="194">
        <f>C4</f>
        <v>24</v>
      </c>
    </row>
    <row r="5">
      <c r="A5" s="192">
        <v>45082.0</v>
      </c>
      <c r="B5" s="195" t="s">
        <v>207</v>
      </c>
      <c r="C5" s="196"/>
      <c r="D5" s="196">
        <v>6.0</v>
      </c>
      <c r="E5" s="196">
        <f t="shared" ref="E5:E16" si="1">E4+C5-D5</f>
        <v>18</v>
      </c>
    </row>
    <row r="6">
      <c r="A6" s="192">
        <v>45082.0</v>
      </c>
      <c r="B6" s="197" t="s">
        <v>214</v>
      </c>
      <c r="C6" s="196"/>
      <c r="D6" s="196">
        <v>6.0</v>
      </c>
      <c r="E6" s="196">
        <f t="shared" si="1"/>
        <v>12</v>
      </c>
    </row>
    <row r="7">
      <c r="A7" s="192">
        <v>45085.0</v>
      </c>
      <c r="B7" s="209" t="s">
        <v>398</v>
      </c>
      <c r="C7" s="196"/>
      <c r="D7" s="196">
        <v>6.0</v>
      </c>
      <c r="E7" s="196">
        <f t="shared" si="1"/>
        <v>6</v>
      </c>
    </row>
    <row r="8">
      <c r="A8" s="201"/>
      <c r="B8" s="200"/>
      <c r="C8" s="196"/>
      <c r="D8" s="202">
        <v>6.0</v>
      </c>
      <c r="E8" s="196">
        <f t="shared" si="1"/>
        <v>0</v>
      </c>
    </row>
    <row r="9">
      <c r="A9" s="201"/>
      <c r="B9" s="200"/>
      <c r="C9" s="196"/>
      <c r="D9" s="196"/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15.0" customHeight="1">
      <c r="A1" s="190" t="s">
        <v>400</v>
      </c>
      <c r="B1" s="4"/>
      <c r="C1" s="4"/>
      <c r="D1" s="4"/>
      <c r="E1" s="7"/>
    </row>
    <row r="2" ht="15.0" customHeight="1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45082.0</v>
      </c>
      <c r="B4" s="193" t="s">
        <v>400</v>
      </c>
      <c r="C4" s="194">
        <v>24.0</v>
      </c>
      <c r="D4" s="194"/>
      <c r="E4" s="194">
        <f>C4</f>
        <v>24</v>
      </c>
    </row>
    <row r="5">
      <c r="A5" s="192">
        <v>45082.0</v>
      </c>
      <c r="B5" s="195" t="s">
        <v>207</v>
      </c>
      <c r="C5" s="196"/>
      <c r="D5" s="196">
        <v>6.0</v>
      </c>
      <c r="E5" s="196">
        <f t="shared" ref="E5:E16" si="1">E4+C5-D5</f>
        <v>18</v>
      </c>
    </row>
    <row r="6">
      <c r="A6" s="192">
        <v>45082.0</v>
      </c>
      <c r="B6" s="197" t="s">
        <v>214</v>
      </c>
      <c r="C6" s="196"/>
      <c r="D6" s="196">
        <v>6.0</v>
      </c>
      <c r="E6" s="196">
        <f t="shared" si="1"/>
        <v>12</v>
      </c>
    </row>
    <row r="7">
      <c r="A7" s="192">
        <v>45085.0</v>
      </c>
      <c r="B7" s="209" t="s">
        <v>398</v>
      </c>
      <c r="C7" s="196"/>
      <c r="D7" s="196">
        <v>6.0</v>
      </c>
      <c r="E7" s="196">
        <f t="shared" si="1"/>
        <v>6</v>
      </c>
    </row>
    <row r="8">
      <c r="A8" s="192"/>
      <c r="B8" s="200"/>
      <c r="C8" s="196"/>
      <c r="D8" s="202">
        <v>6.0</v>
      </c>
      <c r="E8" s="196">
        <f t="shared" si="1"/>
        <v>0</v>
      </c>
    </row>
    <row r="9">
      <c r="A9" s="201"/>
      <c r="B9" s="200"/>
      <c r="C9" s="196"/>
      <c r="D9" s="196"/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401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45093.0</v>
      </c>
      <c r="B4" s="193" t="s">
        <v>401</v>
      </c>
      <c r="C4" s="194">
        <v>48.0</v>
      </c>
      <c r="D4" s="194"/>
      <c r="E4" s="194">
        <f>C4</f>
        <v>48</v>
      </c>
    </row>
    <row r="5">
      <c r="A5" s="192">
        <v>45093.0</v>
      </c>
      <c r="B5" s="210" t="s">
        <v>219</v>
      </c>
      <c r="C5" s="196"/>
      <c r="D5" s="196">
        <v>6.0</v>
      </c>
      <c r="E5" s="196">
        <f t="shared" ref="E5:E16" si="1">E4+C5-D5</f>
        <v>42</v>
      </c>
    </row>
    <row r="6">
      <c r="A6" s="192"/>
      <c r="B6" s="200"/>
      <c r="C6" s="196"/>
      <c r="D6" s="202">
        <v>42.0</v>
      </c>
      <c r="E6" s="196">
        <f t="shared" si="1"/>
        <v>0</v>
      </c>
    </row>
    <row r="7">
      <c r="A7" s="192"/>
      <c r="B7" s="209"/>
      <c r="C7" s="196"/>
      <c r="D7" s="196"/>
      <c r="E7" s="196">
        <f t="shared" si="1"/>
        <v>0</v>
      </c>
    </row>
    <row r="8">
      <c r="A8" s="192"/>
      <c r="B8" s="200"/>
      <c r="C8" s="196"/>
      <c r="D8" s="196"/>
      <c r="E8" s="196">
        <f t="shared" si="1"/>
        <v>0</v>
      </c>
    </row>
    <row r="9">
      <c r="A9" s="192"/>
      <c r="B9" s="200"/>
      <c r="C9" s="196"/>
      <c r="D9" s="196"/>
      <c r="E9" s="196">
        <f t="shared" si="1"/>
        <v>0</v>
      </c>
    </row>
    <row r="10">
      <c r="A10" s="192"/>
      <c r="B10" s="200"/>
      <c r="C10" s="196"/>
      <c r="D10" s="196"/>
      <c r="E10" s="196">
        <f t="shared" si="1"/>
        <v>0</v>
      </c>
    </row>
    <row r="11">
      <c r="A11" s="192"/>
      <c r="B11" s="195"/>
      <c r="C11" s="196"/>
      <c r="D11" s="196"/>
      <c r="E11" s="196">
        <f t="shared" si="1"/>
        <v>0</v>
      </c>
    </row>
    <row r="12">
      <c r="A12" s="192"/>
      <c r="B12" s="209"/>
      <c r="C12" s="196"/>
      <c r="D12" s="196"/>
      <c r="E12" s="196">
        <f t="shared" si="1"/>
        <v>0</v>
      </c>
    </row>
    <row r="13">
      <c r="A13" s="192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402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45080.0</v>
      </c>
      <c r="B4" s="193" t="s">
        <v>402</v>
      </c>
      <c r="C4" s="194">
        <v>360.0</v>
      </c>
      <c r="D4" s="194"/>
      <c r="E4" s="194">
        <f>C4</f>
        <v>360</v>
      </c>
    </row>
    <row r="5">
      <c r="A5" s="192">
        <v>45080.0</v>
      </c>
      <c r="B5" s="195" t="s">
        <v>325</v>
      </c>
      <c r="C5" s="196"/>
      <c r="D5" s="196">
        <v>12.0</v>
      </c>
      <c r="E5" s="196">
        <f t="shared" ref="E5:E23" si="1">E4+C5-D5</f>
        <v>348</v>
      </c>
    </row>
    <row r="6">
      <c r="A6" s="192">
        <v>45082.0</v>
      </c>
      <c r="B6" s="197" t="s">
        <v>248</v>
      </c>
      <c r="C6" s="196"/>
      <c r="D6" s="196">
        <v>60.0</v>
      </c>
      <c r="E6" s="196">
        <f t="shared" si="1"/>
        <v>288</v>
      </c>
    </row>
    <row r="7">
      <c r="A7" s="192">
        <v>45100.0</v>
      </c>
      <c r="B7" s="209" t="s">
        <v>246</v>
      </c>
      <c r="C7" s="196"/>
      <c r="D7" s="196">
        <v>120.0</v>
      </c>
      <c r="E7" s="196">
        <f t="shared" si="1"/>
        <v>168</v>
      </c>
    </row>
    <row r="8">
      <c r="A8" s="192">
        <v>45100.0</v>
      </c>
      <c r="B8" s="200" t="s">
        <v>403</v>
      </c>
      <c r="C8" s="196"/>
      <c r="D8" s="196">
        <v>12.0</v>
      </c>
      <c r="E8" s="196">
        <f t="shared" si="1"/>
        <v>156</v>
      </c>
    </row>
    <row r="9">
      <c r="A9" s="192">
        <v>45100.0</v>
      </c>
      <c r="B9" s="200" t="s">
        <v>205</v>
      </c>
      <c r="C9" s="196"/>
      <c r="D9" s="196">
        <v>132.0</v>
      </c>
      <c r="E9" s="196">
        <f t="shared" si="1"/>
        <v>24</v>
      </c>
    </row>
    <row r="10">
      <c r="A10" s="192">
        <v>45101.0</v>
      </c>
      <c r="B10" s="200" t="s">
        <v>204</v>
      </c>
      <c r="C10" s="196">
        <v>360.0</v>
      </c>
      <c r="D10" s="196"/>
      <c r="E10" s="196">
        <f t="shared" si="1"/>
        <v>384</v>
      </c>
    </row>
    <row r="11">
      <c r="A11" s="192">
        <v>45101.0</v>
      </c>
      <c r="B11" s="195" t="s">
        <v>373</v>
      </c>
      <c r="C11" s="196"/>
      <c r="D11" s="196">
        <v>72.0</v>
      </c>
      <c r="E11" s="196">
        <f t="shared" si="1"/>
        <v>312</v>
      </c>
    </row>
    <row r="12">
      <c r="A12" s="192">
        <v>45103.0</v>
      </c>
      <c r="B12" s="209" t="s">
        <v>199</v>
      </c>
      <c r="C12" s="196"/>
      <c r="D12" s="196">
        <v>120.0</v>
      </c>
      <c r="E12" s="196">
        <f t="shared" si="1"/>
        <v>192</v>
      </c>
    </row>
    <row r="13">
      <c r="A13" s="192">
        <v>45115.0</v>
      </c>
      <c r="B13" s="195" t="s">
        <v>200</v>
      </c>
      <c r="C13" s="196"/>
      <c r="D13" s="196">
        <v>60.0</v>
      </c>
      <c r="E13" s="196">
        <f t="shared" si="1"/>
        <v>132</v>
      </c>
    </row>
    <row r="14">
      <c r="A14" s="192">
        <v>45122.0</v>
      </c>
      <c r="B14" s="209" t="s">
        <v>200</v>
      </c>
      <c r="C14" s="196"/>
      <c r="D14" s="196">
        <v>24.0</v>
      </c>
      <c r="E14" s="196">
        <f t="shared" si="1"/>
        <v>108</v>
      </c>
      <c r="F14" s="205"/>
    </row>
    <row r="15">
      <c r="A15" s="192">
        <v>45131.0</v>
      </c>
      <c r="B15" s="207" t="s">
        <v>248</v>
      </c>
      <c r="C15" s="194"/>
      <c r="D15" s="194">
        <v>108.0</v>
      </c>
      <c r="E15" s="194">
        <f t="shared" si="1"/>
        <v>0</v>
      </c>
    </row>
    <row r="16">
      <c r="A16" s="192"/>
      <c r="B16" s="212"/>
      <c r="C16" s="194"/>
      <c r="D16" s="194"/>
      <c r="E16" s="194">
        <f t="shared" si="1"/>
        <v>0</v>
      </c>
    </row>
    <row r="17">
      <c r="A17" s="192"/>
      <c r="B17" s="212"/>
      <c r="C17" s="194"/>
      <c r="D17" s="194"/>
      <c r="E17" s="194">
        <f t="shared" si="1"/>
        <v>0</v>
      </c>
    </row>
    <row r="18">
      <c r="A18" s="192"/>
      <c r="B18" s="212"/>
      <c r="C18" s="194"/>
      <c r="D18" s="194"/>
      <c r="E18" s="194">
        <f t="shared" si="1"/>
        <v>0</v>
      </c>
    </row>
    <row r="19">
      <c r="A19" s="192"/>
      <c r="B19" s="212"/>
      <c r="C19" s="194"/>
      <c r="D19" s="194"/>
      <c r="E19" s="194">
        <f t="shared" si="1"/>
        <v>0</v>
      </c>
    </row>
    <row r="20">
      <c r="A20" s="192"/>
      <c r="B20" s="212"/>
      <c r="C20" s="194"/>
      <c r="D20" s="194"/>
      <c r="E20" s="194">
        <f t="shared" si="1"/>
        <v>0</v>
      </c>
    </row>
    <row r="21" ht="15.75" customHeight="1">
      <c r="A21" s="192"/>
      <c r="B21" s="212"/>
      <c r="C21" s="194"/>
      <c r="D21" s="194"/>
      <c r="E21" s="194">
        <f t="shared" si="1"/>
        <v>0</v>
      </c>
    </row>
    <row r="22" ht="15.75" customHeight="1">
      <c r="A22" s="192"/>
      <c r="B22" s="212"/>
      <c r="C22" s="194"/>
      <c r="D22" s="194"/>
      <c r="E22" s="194">
        <f t="shared" si="1"/>
        <v>0</v>
      </c>
    </row>
    <row r="23" ht="15.75" customHeight="1">
      <c r="A23" s="206"/>
      <c r="B23" s="208"/>
      <c r="C23" s="194"/>
      <c r="D23" s="194"/>
      <c r="E23" s="194">
        <f t="shared" si="1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paperSize="9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43.5" customHeight="1">
      <c r="A1" s="211" t="s">
        <v>404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404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9</v>
      </c>
    </row>
    <row r="6">
      <c r="A6" s="192">
        <v>45079.0</v>
      </c>
      <c r="B6" s="197" t="s">
        <v>405</v>
      </c>
      <c r="C6" s="196"/>
      <c r="D6" s="196">
        <v>6.0</v>
      </c>
      <c r="E6" s="196">
        <f t="shared" si="1"/>
        <v>3</v>
      </c>
    </row>
    <row r="7">
      <c r="A7" s="192">
        <v>45086.0</v>
      </c>
      <c r="B7" s="200" t="s">
        <v>204</v>
      </c>
      <c r="C7" s="196">
        <v>12.0</v>
      </c>
      <c r="D7" s="196"/>
      <c r="E7" s="196">
        <f t="shared" si="1"/>
        <v>15</v>
      </c>
    </row>
    <row r="8">
      <c r="A8" s="192">
        <v>45089.0</v>
      </c>
      <c r="B8" s="200" t="s">
        <v>309</v>
      </c>
      <c r="C8" s="196"/>
      <c r="D8" s="196">
        <v>6.0</v>
      </c>
      <c r="E8" s="196">
        <f t="shared" si="1"/>
        <v>9</v>
      </c>
    </row>
    <row r="9">
      <c r="A9" s="192">
        <v>45093.0</v>
      </c>
      <c r="B9" s="200" t="s">
        <v>219</v>
      </c>
      <c r="C9" s="196"/>
      <c r="D9" s="196">
        <v>6.0</v>
      </c>
      <c r="E9" s="196">
        <f t="shared" si="1"/>
        <v>3</v>
      </c>
    </row>
    <row r="10">
      <c r="A10" s="192">
        <v>45099.0</v>
      </c>
      <c r="B10" s="200" t="s">
        <v>204</v>
      </c>
      <c r="C10" s="196">
        <v>12.0</v>
      </c>
      <c r="D10" s="196"/>
      <c r="E10" s="196">
        <f t="shared" si="1"/>
        <v>15</v>
      </c>
    </row>
    <row r="11">
      <c r="A11" s="192">
        <v>45100.0</v>
      </c>
      <c r="B11" s="195" t="s">
        <v>246</v>
      </c>
      <c r="C11" s="196"/>
      <c r="D11" s="196">
        <v>6.0</v>
      </c>
      <c r="E11" s="196">
        <f t="shared" si="1"/>
        <v>9</v>
      </c>
    </row>
    <row r="12">
      <c r="A12" s="192">
        <v>45100.0</v>
      </c>
      <c r="B12" s="203" t="s">
        <v>205</v>
      </c>
      <c r="C12" s="196"/>
      <c r="D12" s="196">
        <v>3.0</v>
      </c>
      <c r="E12" s="196">
        <f t="shared" si="1"/>
        <v>6</v>
      </c>
    </row>
    <row r="13">
      <c r="A13" s="192">
        <v>45103.0</v>
      </c>
      <c r="B13" s="203" t="s">
        <v>219</v>
      </c>
      <c r="C13" s="196"/>
      <c r="D13" s="196">
        <v>6.0</v>
      </c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8.43"/>
    <col customWidth="1" min="3" max="3" width="14.14"/>
    <col customWidth="1" min="4" max="4" width="11.43"/>
    <col customWidth="1" min="5" max="5" width="14.43"/>
    <col customWidth="1" min="6" max="26" width="9.14"/>
  </cols>
  <sheetData>
    <row r="1" ht="30.0" customHeight="1">
      <c r="A1" s="190" t="s">
        <v>406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406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9</v>
      </c>
    </row>
    <row r="6">
      <c r="A6" s="192">
        <v>45079.0</v>
      </c>
      <c r="B6" s="197" t="s">
        <v>405</v>
      </c>
      <c r="C6" s="196"/>
      <c r="D6" s="196">
        <v>6.0</v>
      </c>
      <c r="E6" s="196">
        <f t="shared" si="1"/>
        <v>3</v>
      </c>
    </row>
    <row r="7">
      <c r="A7" s="192">
        <v>45086.0</v>
      </c>
      <c r="B7" s="200" t="s">
        <v>204</v>
      </c>
      <c r="C7" s="196">
        <v>12.0</v>
      </c>
      <c r="D7" s="196"/>
      <c r="E7" s="196">
        <f t="shared" si="1"/>
        <v>15</v>
      </c>
    </row>
    <row r="8">
      <c r="A8" s="192">
        <v>45086.0</v>
      </c>
      <c r="B8" s="200" t="s">
        <v>376</v>
      </c>
      <c r="C8" s="196"/>
      <c r="D8" s="196">
        <v>3.0</v>
      </c>
      <c r="E8" s="196">
        <f t="shared" si="1"/>
        <v>12</v>
      </c>
    </row>
    <row r="9">
      <c r="A9" s="192">
        <v>45089.0</v>
      </c>
      <c r="B9" s="200" t="s">
        <v>309</v>
      </c>
      <c r="C9" s="196"/>
      <c r="D9" s="196">
        <v>6.0</v>
      </c>
      <c r="E9" s="196">
        <f t="shared" si="1"/>
        <v>6</v>
      </c>
    </row>
    <row r="10">
      <c r="A10" s="192">
        <v>45099.0</v>
      </c>
      <c r="B10" s="200" t="s">
        <v>204</v>
      </c>
      <c r="C10" s="196">
        <v>12.0</v>
      </c>
      <c r="D10" s="196"/>
      <c r="E10" s="196">
        <f t="shared" si="1"/>
        <v>18</v>
      </c>
    </row>
    <row r="11">
      <c r="A11" s="192">
        <v>45100.0</v>
      </c>
      <c r="B11" s="195" t="s">
        <v>246</v>
      </c>
      <c r="C11" s="196"/>
      <c r="D11" s="196">
        <v>6.0</v>
      </c>
      <c r="E11" s="196">
        <f t="shared" si="1"/>
        <v>12</v>
      </c>
    </row>
    <row r="12">
      <c r="A12" s="192">
        <v>45100.0</v>
      </c>
      <c r="B12" s="203" t="s">
        <v>205</v>
      </c>
      <c r="C12" s="196"/>
      <c r="D12" s="196">
        <v>3.0</v>
      </c>
      <c r="E12" s="196">
        <f t="shared" si="1"/>
        <v>9</v>
      </c>
    </row>
    <row r="13">
      <c r="A13" s="192">
        <v>45111.0</v>
      </c>
      <c r="B13" s="207" t="s">
        <v>388</v>
      </c>
      <c r="C13" s="196"/>
      <c r="D13" s="196">
        <v>6.0</v>
      </c>
      <c r="E13" s="196">
        <f t="shared" si="1"/>
        <v>3</v>
      </c>
    </row>
    <row r="14">
      <c r="A14" s="192">
        <v>45113.0</v>
      </c>
      <c r="B14" s="203" t="s">
        <v>240</v>
      </c>
      <c r="C14" s="196"/>
      <c r="D14" s="196">
        <v>3.0</v>
      </c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2.14"/>
    <col customWidth="1" min="3" max="3" width="14.14"/>
    <col customWidth="1" min="4" max="4" width="11.43"/>
    <col customWidth="1" min="5" max="5" width="14.43"/>
    <col customWidth="1" min="6" max="26" width="9.14"/>
  </cols>
  <sheetData>
    <row r="1" ht="45.75" customHeight="1">
      <c r="A1" s="211" t="s">
        <v>407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407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9</v>
      </c>
    </row>
    <row r="6">
      <c r="A6" s="192">
        <v>45079.0</v>
      </c>
      <c r="B6" s="197" t="s">
        <v>405</v>
      </c>
      <c r="C6" s="196"/>
      <c r="D6" s="196">
        <v>6.0</v>
      </c>
      <c r="E6" s="196">
        <f t="shared" si="1"/>
        <v>3</v>
      </c>
    </row>
    <row r="7">
      <c r="A7" s="192">
        <v>45086.0</v>
      </c>
      <c r="B7" s="200" t="s">
        <v>204</v>
      </c>
      <c r="C7" s="196">
        <v>12.0</v>
      </c>
      <c r="D7" s="196"/>
      <c r="E7" s="196">
        <f t="shared" si="1"/>
        <v>15</v>
      </c>
    </row>
    <row r="8">
      <c r="A8" s="192">
        <v>45086.0</v>
      </c>
      <c r="B8" s="200" t="s">
        <v>376</v>
      </c>
      <c r="C8" s="196"/>
      <c r="D8" s="196">
        <v>3.0</v>
      </c>
      <c r="E8" s="196">
        <f t="shared" si="1"/>
        <v>12</v>
      </c>
    </row>
    <row r="9">
      <c r="A9" s="192">
        <v>45089.0</v>
      </c>
      <c r="B9" s="200" t="s">
        <v>309</v>
      </c>
      <c r="C9" s="196"/>
      <c r="D9" s="196">
        <v>6.0</v>
      </c>
      <c r="E9" s="196">
        <f t="shared" si="1"/>
        <v>6</v>
      </c>
    </row>
    <row r="10">
      <c r="A10" s="192">
        <v>45099.0</v>
      </c>
      <c r="B10" s="200" t="s">
        <v>204</v>
      </c>
      <c r="C10" s="196">
        <v>12.0</v>
      </c>
      <c r="D10" s="196"/>
      <c r="E10" s="196">
        <f t="shared" si="1"/>
        <v>18</v>
      </c>
    </row>
    <row r="11">
      <c r="A11" s="192">
        <v>45100.0</v>
      </c>
      <c r="B11" s="195" t="s">
        <v>246</v>
      </c>
      <c r="C11" s="196"/>
      <c r="D11" s="196">
        <v>6.0</v>
      </c>
      <c r="E11" s="196">
        <f t="shared" si="1"/>
        <v>12</v>
      </c>
    </row>
    <row r="12">
      <c r="A12" s="192">
        <v>45100.0</v>
      </c>
      <c r="B12" s="203" t="s">
        <v>205</v>
      </c>
      <c r="C12" s="196"/>
      <c r="D12" s="196">
        <v>3.0</v>
      </c>
      <c r="E12" s="196">
        <f t="shared" si="1"/>
        <v>9</v>
      </c>
    </row>
    <row r="13">
      <c r="A13" s="192">
        <v>45111.0</v>
      </c>
      <c r="B13" s="207" t="s">
        <v>230</v>
      </c>
      <c r="C13" s="196"/>
      <c r="D13" s="196">
        <v>6.0</v>
      </c>
      <c r="E13" s="196">
        <f t="shared" si="1"/>
        <v>3</v>
      </c>
    </row>
    <row r="14">
      <c r="A14" s="192">
        <v>45113.0</v>
      </c>
      <c r="B14" s="203" t="s">
        <v>240</v>
      </c>
      <c r="C14" s="196"/>
      <c r="D14" s="196">
        <v>3.0</v>
      </c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9.0"/>
    <col customWidth="1" min="3" max="3" width="14.14"/>
    <col customWidth="1" min="4" max="4" width="11.43"/>
    <col customWidth="1" min="5" max="5" width="14.43"/>
    <col customWidth="1" min="6" max="26" width="9.14"/>
  </cols>
  <sheetData>
    <row r="1" ht="45.75" customHeight="1">
      <c r="A1" s="211" t="s">
        <v>408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408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9</v>
      </c>
    </row>
    <row r="6">
      <c r="A6" s="192">
        <v>45079.0</v>
      </c>
      <c r="B6" s="197" t="s">
        <v>405</v>
      </c>
      <c r="C6" s="196"/>
      <c r="D6" s="196">
        <v>6.0</v>
      </c>
      <c r="E6" s="196">
        <f t="shared" si="1"/>
        <v>3</v>
      </c>
    </row>
    <row r="7">
      <c r="A7" s="192">
        <v>45086.0</v>
      </c>
      <c r="B7" s="200" t="s">
        <v>204</v>
      </c>
      <c r="C7" s="196">
        <v>12.0</v>
      </c>
      <c r="D7" s="196"/>
      <c r="E7" s="196">
        <f t="shared" si="1"/>
        <v>15</v>
      </c>
    </row>
    <row r="8">
      <c r="A8" s="192">
        <v>45086.0</v>
      </c>
      <c r="B8" s="200" t="s">
        <v>376</v>
      </c>
      <c r="C8" s="196"/>
      <c r="D8" s="196">
        <v>3.0</v>
      </c>
      <c r="E8" s="196">
        <f t="shared" si="1"/>
        <v>12</v>
      </c>
    </row>
    <row r="9">
      <c r="A9" s="192">
        <v>45086.0</v>
      </c>
      <c r="B9" s="200" t="s">
        <v>376</v>
      </c>
      <c r="C9" s="196"/>
      <c r="D9" s="196">
        <v>3.0</v>
      </c>
      <c r="E9" s="196">
        <f t="shared" si="1"/>
        <v>9</v>
      </c>
    </row>
    <row r="10">
      <c r="A10" s="192">
        <v>45089.0</v>
      </c>
      <c r="B10" s="200" t="s">
        <v>309</v>
      </c>
      <c r="C10" s="196"/>
      <c r="D10" s="196">
        <v>6.0</v>
      </c>
      <c r="E10" s="196">
        <f t="shared" si="1"/>
        <v>3</v>
      </c>
    </row>
    <row r="11">
      <c r="A11" s="192">
        <v>45099.0</v>
      </c>
      <c r="B11" s="200" t="s">
        <v>204</v>
      </c>
      <c r="C11" s="196">
        <v>12.0</v>
      </c>
      <c r="D11" s="196"/>
      <c r="E11" s="196">
        <f t="shared" si="1"/>
        <v>15</v>
      </c>
    </row>
    <row r="12">
      <c r="A12" s="192">
        <v>45100.0</v>
      </c>
      <c r="B12" s="195" t="s">
        <v>246</v>
      </c>
      <c r="C12" s="196"/>
      <c r="D12" s="196">
        <v>6.0</v>
      </c>
      <c r="E12" s="196">
        <f t="shared" si="1"/>
        <v>9</v>
      </c>
    </row>
    <row r="13">
      <c r="A13" s="192">
        <v>45100.0</v>
      </c>
      <c r="B13" s="203" t="s">
        <v>205</v>
      </c>
      <c r="C13" s="196"/>
      <c r="D13" s="196">
        <v>3.0</v>
      </c>
      <c r="E13" s="196">
        <f t="shared" si="1"/>
        <v>6</v>
      </c>
    </row>
    <row r="14">
      <c r="A14" s="192">
        <v>45103.0</v>
      </c>
      <c r="B14" s="203" t="s">
        <v>219</v>
      </c>
      <c r="C14" s="196"/>
      <c r="D14" s="196">
        <v>6.0</v>
      </c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44.25" customHeight="1">
      <c r="A1" s="211" t="s">
        <v>409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409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7" si="1">E4+C5-D5</f>
        <v>9</v>
      </c>
    </row>
    <row r="6">
      <c r="A6" s="192">
        <v>45079.0</v>
      </c>
      <c r="B6" s="197" t="s">
        <v>405</v>
      </c>
      <c r="C6" s="196"/>
      <c r="D6" s="196">
        <v>5.0</v>
      </c>
      <c r="E6" s="196">
        <f t="shared" si="1"/>
        <v>4</v>
      </c>
    </row>
    <row r="7">
      <c r="A7" s="192">
        <v>45086.0</v>
      </c>
      <c r="B7" s="209" t="s">
        <v>376</v>
      </c>
      <c r="C7" s="196"/>
      <c r="D7" s="196">
        <v>2.0</v>
      </c>
      <c r="E7" s="196">
        <f t="shared" si="1"/>
        <v>2</v>
      </c>
    </row>
    <row r="8">
      <c r="A8" s="192">
        <v>45089.0</v>
      </c>
      <c r="B8" s="200" t="s">
        <v>204</v>
      </c>
      <c r="C8" s="196">
        <v>12.0</v>
      </c>
      <c r="D8" s="196"/>
      <c r="E8" s="196">
        <f t="shared" si="1"/>
        <v>14</v>
      </c>
    </row>
    <row r="9">
      <c r="A9" s="192">
        <v>45089.0</v>
      </c>
      <c r="B9" s="200" t="s">
        <v>309</v>
      </c>
      <c r="C9" s="196"/>
      <c r="D9" s="196">
        <v>7.0</v>
      </c>
      <c r="E9" s="196">
        <f t="shared" si="1"/>
        <v>7</v>
      </c>
    </row>
    <row r="10">
      <c r="A10" s="192">
        <v>45091.0</v>
      </c>
      <c r="B10" s="200" t="s">
        <v>200</v>
      </c>
      <c r="C10" s="196"/>
      <c r="D10" s="196">
        <v>2.0</v>
      </c>
      <c r="E10" s="196">
        <f t="shared" si="1"/>
        <v>5</v>
      </c>
    </row>
    <row r="11">
      <c r="A11" s="192">
        <v>45093.0</v>
      </c>
      <c r="B11" s="200" t="s">
        <v>200</v>
      </c>
      <c r="C11" s="196"/>
      <c r="D11" s="196">
        <v>3.0</v>
      </c>
      <c r="E11" s="196">
        <f t="shared" si="1"/>
        <v>2</v>
      </c>
    </row>
    <row r="12">
      <c r="A12" s="192">
        <v>45099.0</v>
      </c>
      <c r="B12" s="200" t="s">
        <v>204</v>
      </c>
      <c r="C12" s="196">
        <v>12.0</v>
      </c>
      <c r="D12" s="196"/>
      <c r="E12" s="196">
        <f t="shared" si="1"/>
        <v>14</v>
      </c>
    </row>
    <row r="13">
      <c r="A13" s="192">
        <v>45100.0</v>
      </c>
      <c r="B13" s="195" t="s">
        <v>246</v>
      </c>
      <c r="C13" s="196"/>
      <c r="D13" s="196">
        <v>5.0</v>
      </c>
      <c r="E13" s="196">
        <f t="shared" si="1"/>
        <v>9</v>
      </c>
    </row>
    <row r="14">
      <c r="A14" s="192">
        <v>45100.0</v>
      </c>
      <c r="B14" s="203" t="s">
        <v>205</v>
      </c>
      <c r="C14" s="196"/>
      <c r="D14" s="196">
        <v>2.0</v>
      </c>
      <c r="E14" s="196">
        <f t="shared" si="1"/>
        <v>7</v>
      </c>
      <c r="F14" s="205"/>
    </row>
    <row r="15">
      <c r="A15" s="192">
        <v>45111.0</v>
      </c>
      <c r="B15" s="207" t="s">
        <v>230</v>
      </c>
      <c r="C15" s="194"/>
      <c r="D15" s="194">
        <v>6.0</v>
      </c>
      <c r="E15" s="194">
        <f t="shared" si="1"/>
        <v>1</v>
      </c>
    </row>
    <row r="16">
      <c r="A16" s="192">
        <v>45113.0</v>
      </c>
      <c r="B16" s="212" t="s">
        <v>240</v>
      </c>
      <c r="C16" s="194"/>
      <c r="D16" s="194">
        <v>1.0</v>
      </c>
      <c r="E16" s="194">
        <f t="shared" si="1"/>
        <v>0</v>
      </c>
    </row>
    <row r="17">
      <c r="A17" s="206"/>
      <c r="B17" s="208"/>
      <c r="C17" s="194"/>
      <c r="D17" s="194"/>
      <c r="E17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64" t="s">
        <v>411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3.29"/>
    <col customWidth="1" min="3" max="3" width="14.14"/>
    <col customWidth="1" min="4" max="4" width="11.43"/>
    <col customWidth="1" min="5" max="5" width="14.43"/>
    <col customWidth="1" min="6" max="26" width="9.14"/>
  </cols>
  <sheetData>
    <row r="1" ht="46.5" customHeight="1">
      <c r="A1" s="211" t="s">
        <v>410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45076.0</v>
      </c>
      <c r="B4" s="193" t="s">
        <v>410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2.0</v>
      </c>
      <c r="E5" s="196">
        <f t="shared" ref="E5:E16" si="1">E4+C5-D5</f>
        <v>10</v>
      </c>
    </row>
    <row r="6">
      <c r="A6" s="192">
        <v>45079.0</v>
      </c>
      <c r="B6" s="197" t="s">
        <v>405</v>
      </c>
      <c r="C6" s="196"/>
      <c r="D6" s="196">
        <v>4.0</v>
      </c>
      <c r="E6" s="196">
        <f t="shared" si="1"/>
        <v>6</v>
      </c>
    </row>
    <row r="7">
      <c r="A7" s="192">
        <v>45086.0</v>
      </c>
      <c r="B7" s="209" t="s">
        <v>376</v>
      </c>
      <c r="C7" s="196"/>
      <c r="D7" s="196">
        <v>3.0</v>
      </c>
      <c r="E7" s="196">
        <f t="shared" si="1"/>
        <v>3</v>
      </c>
    </row>
    <row r="8">
      <c r="A8" s="192">
        <v>45089.0</v>
      </c>
      <c r="B8" s="200" t="s">
        <v>204</v>
      </c>
      <c r="C8" s="196">
        <v>12.0</v>
      </c>
      <c r="D8" s="196"/>
      <c r="E8" s="196">
        <f t="shared" si="1"/>
        <v>15</v>
      </c>
    </row>
    <row r="9">
      <c r="A9" s="192">
        <v>45089.0</v>
      </c>
      <c r="B9" s="200" t="s">
        <v>309</v>
      </c>
      <c r="C9" s="196"/>
      <c r="D9" s="196">
        <v>7.0</v>
      </c>
      <c r="E9" s="196">
        <f t="shared" si="1"/>
        <v>8</v>
      </c>
    </row>
    <row r="10">
      <c r="A10" s="192">
        <v>45091.0</v>
      </c>
      <c r="B10" s="200" t="s">
        <v>200</v>
      </c>
      <c r="C10" s="196"/>
      <c r="D10" s="196">
        <v>4.0</v>
      </c>
      <c r="E10" s="196">
        <f t="shared" si="1"/>
        <v>4</v>
      </c>
    </row>
    <row r="11">
      <c r="A11" s="192">
        <v>45099.0</v>
      </c>
      <c r="B11" s="200" t="s">
        <v>204</v>
      </c>
      <c r="C11" s="196">
        <v>12.0</v>
      </c>
      <c r="D11" s="196"/>
      <c r="E11" s="196">
        <f t="shared" si="1"/>
        <v>16</v>
      </c>
    </row>
    <row r="12">
      <c r="A12" s="192">
        <v>45100.0</v>
      </c>
      <c r="B12" s="195" t="s">
        <v>246</v>
      </c>
      <c r="C12" s="196"/>
      <c r="D12" s="196">
        <v>4.0</v>
      </c>
      <c r="E12" s="196">
        <f t="shared" si="1"/>
        <v>12</v>
      </c>
    </row>
    <row r="13">
      <c r="A13" s="192">
        <v>45100.0</v>
      </c>
      <c r="B13" s="203" t="s">
        <v>205</v>
      </c>
      <c r="C13" s="196"/>
      <c r="D13" s="196">
        <v>3.0</v>
      </c>
      <c r="E13" s="196">
        <f t="shared" si="1"/>
        <v>9</v>
      </c>
    </row>
    <row r="14">
      <c r="A14" s="192">
        <v>45113.0</v>
      </c>
      <c r="B14" s="212" t="s">
        <v>240</v>
      </c>
      <c r="C14" s="196"/>
      <c r="D14" s="196">
        <v>9.0</v>
      </c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0.86"/>
    <col customWidth="1" min="3" max="3" width="14.14"/>
    <col customWidth="1" min="4" max="4" width="11.43"/>
    <col customWidth="1" min="5" max="5" width="14.43"/>
    <col customWidth="1" min="6" max="26" width="9.14"/>
  </cols>
  <sheetData>
    <row r="1" ht="45.0" customHeight="1">
      <c r="A1" s="211" t="s">
        <v>412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412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9</v>
      </c>
    </row>
    <row r="6">
      <c r="A6" s="192">
        <v>45079.0</v>
      </c>
      <c r="B6" s="197" t="s">
        <v>214</v>
      </c>
      <c r="C6" s="196"/>
      <c r="D6" s="196">
        <v>5.0</v>
      </c>
      <c r="E6" s="196">
        <f t="shared" si="1"/>
        <v>4</v>
      </c>
    </row>
    <row r="7">
      <c r="A7" s="192">
        <v>45086.0</v>
      </c>
      <c r="B7" s="209" t="s">
        <v>376</v>
      </c>
      <c r="C7" s="196"/>
      <c r="D7" s="196">
        <v>2.0</v>
      </c>
      <c r="E7" s="196">
        <f t="shared" si="1"/>
        <v>2</v>
      </c>
    </row>
    <row r="8">
      <c r="A8" s="192">
        <v>45089.0</v>
      </c>
      <c r="B8" s="200" t="s">
        <v>204</v>
      </c>
      <c r="C8" s="196">
        <v>12.0</v>
      </c>
      <c r="D8" s="196"/>
      <c r="E8" s="196">
        <f t="shared" si="1"/>
        <v>14</v>
      </c>
    </row>
    <row r="9">
      <c r="A9" s="192">
        <v>45089.0</v>
      </c>
      <c r="B9" s="200" t="s">
        <v>309</v>
      </c>
      <c r="C9" s="196"/>
      <c r="D9" s="196">
        <v>8.0</v>
      </c>
      <c r="E9" s="196">
        <f t="shared" si="1"/>
        <v>6</v>
      </c>
    </row>
    <row r="10">
      <c r="A10" s="192">
        <v>45091.0</v>
      </c>
      <c r="B10" s="200" t="s">
        <v>219</v>
      </c>
      <c r="C10" s="196"/>
      <c r="D10" s="196">
        <v>1.0</v>
      </c>
      <c r="E10" s="196">
        <f t="shared" si="1"/>
        <v>5</v>
      </c>
    </row>
    <row r="11">
      <c r="A11" s="192">
        <v>45093.0</v>
      </c>
      <c r="B11" s="195" t="s">
        <v>219</v>
      </c>
      <c r="C11" s="196"/>
      <c r="D11" s="196">
        <v>3.0</v>
      </c>
      <c r="E11" s="196">
        <f t="shared" si="1"/>
        <v>2</v>
      </c>
    </row>
    <row r="12">
      <c r="A12" s="192">
        <v>45099.0</v>
      </c>
      <c r="B12" s="200" t="s">
        <v>204</v>
      </c>
      <c r="C12" s="196">
        <v>12.0</v>
      </c>
      <c r="D12" s="196"/>
      <c r="E12" s="196">
        <f t="shared" si="1"/>
        <v>14</v>
      </c>
    </row>
    <row r="13">
      <c r="A13" s="192">
        <v>45100.0</v>
      </c>
      <c r="B13" s="195" t="s">
        <v>246</v>
      </c>
      <c r="C13" s="196"/>
      <c r="D13" s="196">
        <v>5.0</v>
      </c>
      <c r="E13" s="196">
        <f t="shared" si="1"/>
        <v>9</v>
      </c>
    </row>
    <row r="14">
      <c r="A14" s="192">
        <v>45100.0</v>
      </c>
      <c r="B14" s="203" t="s">
        <v>205</v>
      </c>
      <c r="C14" s="196"/>
      <c r="D14" s="196">
        <v>2.0</v>
      </c>
      <c r="E14" s="196">
        <f t="shared" si="1"/>
        <v>7</v>
      </c>
      <c r="F14" s="205"/>
    </row>
    <row r="15">
      <c r="A15" s="192">
        <v>45113.0</v>
      </c>
      <c r="B15" s="207" t="s">
        <v>240</v>
      </c>
      <c r="C15" s="194"/>
      <c r="D15" s="194">
        <v>7.0</v>
      </c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4.43"/>
    <col customWidth="1" min="3" max="3" width="14.14"/>
    <col customWidth="1" min="4" max="4" width="11.43"/>
    <col customWidth="1" min="5" max="5" width="14.43"/>
    <col customWidth="1" min="6" max="26" width="9.14"/>
  </cols>
  <sheetData>
    <row r="1" ht="45.75" customHeight="1">
      <c r="A1" s="211" t="s">
        <v>413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413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2.0</v>
      </c>
      <c r="E5" s="196">
        <f t="shared" ref="E5:E16" si="1">E4+C5-D5</f>
        <v>10</v>
      </c>
    </row>
    <row r="6">
      <c r="A6" s="192">
        <v>45079.0</v>
      </c>
      <c r="B6" s="197" t="s">
        <v>214</v>
      </c>
      <c r="C6" s="196"/>
      <c r="D6" s="196">
        <v>5.0</v>
      </c>
      <c r="E6" s="196">
        <f t="shared" si="1"/>
        <v>5</v>
      </c>
    </row>
    <row r="7">
      <c r="A7" s="192">
        <v>45086.0</v>
      </c>
      <c r="B7" s="209" t="s">
        <v>192</v>
      </c>
      <c r="C7" s="196"/>
      <c r="D7" s="196">
        <v>2.0</v>
      </c>
      <c r="E7" s="196">
        <f t="shared" si="1"/>
        <v>3</v>
      </c>
    </row>
    <row r="8">
      <c r="A8" s="192">
        <v>45089.0</v>
      </c>
      <c r="B8" s="200" t="s">
        <v>314</v>
      </c>
      <c r="C8" s="196">
        <v>12.0</v>
      </c>
      <c r="D8" s="196"/>
      <c r="E8" s="196">
        <f t="shared" si="1"/>
        <v>15</v>
      </c>
    </row>
    <row r="9">
      <c r="A9" s="192">
        <v>45089.0</v>
      </c>
      <c r="B9" s="200" t="s">
        <v>309</v>
      </c>
      <c r="C9" s="196"/>
      <c r="D9" s="196">
        <v>7.0</v>
      </c>
      <c r="E9" s="196">
        <f t="shared" si="1"/>
        <v>8</v>
      </c>
    </row>
    <row r="10">
      <c r="A10" s="192">
        <v>45091.0</v>
      </c>
      <c r="B10" s="200" t="s">
        <v>200</v>
      </c>
      <c r="C10" s="196"/>
      <c r="D10" s="196">
        <v>3.0</v>
      </c>
      <c r="E10" s="196">
        <f t="shared" si="1"/>
        <v>5</v>
      </c>
    </row>
    <row r="11">
      <c r="A11" s="192">
        <v>45099.0</v>
      </c>
      <c r="B11" s="200" t="s">
        <v>204</v>
      </c>
      <c r="C11" s="196">
        <v>12.0</v>
      </c>
      <c r="D11" s="196"/>
      <c r="E11" s="196">
        <f t="shared" si="1"/>
        <v>17</v>
      </c>
    </row>
    <row r="12">
      <c r="A12" s="192">
        <v>45100.0</v>
      </c>
      <c r="B12" s="195" t="s">
        <v>246</v>
      </c>
      <c r="C12" s="196"/>
      <c r="D12" s="196">
        <v>5.0</v>
      </c>
      <c r="E12" s="196">
        <f t="shared" si="1"/>
        <v>12</v>
      </c>
    </row>
    <row r="13">
      <c r="A13" s="192">
        <v>45100.0</v>
      </c>
      <c r="B13" s="203" t="s">
        <v>205</v>
      </c>
      <c r="C13" s="196"/>
      <c r="D13" s="196">
        <v>2.0</v>
      </c>
      <c r="E13" s="196">
        <f t="shared" si="1"/>
        <v>10</v>
      </c>
    </row>
    <row r="14">
      <c r="A14" s="192">
        <v>45113.0</v>
      </c>
      <c r="B14" s="207" t="s">
        <v>240</v>
      </c>
      <c r="C14" s="196"/>
      <c r="D14" s="196">
        <v>10.0</v>
      </c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3.43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414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414</v>
      </c>
      <c r="C4" s="194">
        <v>12.0</v>
      </c>
      <c r="D4" s="194"/>
      <c r="E4" s="194">
        <f>C4</f>
        <v>12</v>
      </c>
    </row>
    <row r="5">
      <c r="A5" s="192">
        <v>45079.0</v>
      </c>
      <c r="B5" s="195" t="s">
        <v>205</v>
      </c>
      <c r="C5" s="196"/>
      <c r="D5" s="196">
        <v>2.0</v>
      </c>
      <c r="E5" s="196">
        <f t="shared" ref="E5:E16" si="1">E4+C5-D5</f>
        <v>10</v>
      </c>
    </row>
    <row r="6">
      <c r="A6" s="192">
        <v>45079.0</v>
      </c>
      <c r="B6" s="197" t="s">
        <v>214</v>
      </c>
      <c r="C6" s="196"/>
      <c r="D6" s="196">
        <v>5.0</v>
      </c>
      <c r="E6" s="196">
        <f t="shared" si="1"/>
        <v>5</v>
      </c>
    </row>
    <row r="7">
      <c r="A7" s="192">
        <v>45086.0</v>
      </c>
      <c r="B7" s="209" t="s">
        <v>192</v>
      </c>
      <c r="C7" s="196"/>
      <c r="D7" s="196">
        <v>3.0</v>
      </c>
      <c r="E7" s="196">
        <f t="shared" si="1"/>
        <v>2</v>
      </c>
    </row>
    <row r="8">
      <c r="A8" s="192">
        <v>45089.0</v>
      </c>
      <c r="B8" s="200" t="s">
        <v>314</v>
      </c>
      <c r="C8" s="196">
        <v>12.0</v>
      </c>
      <c r="D8" s="196"/>
      <c r="E8" s="196">
        <f t="shared" si="1"/>
        <v>14</v>
      </c>
    </row>
    <row r="9">
      <c r="A9" s="192">
        <v>45089.0</v>
      </c>
      <c r="B9" s="200" t="s">
        <v>309</v>
      </c>
      <c r="C9" s="196"/>
      <c r="D9" s="196">
        <v>7.0</v>
      </c>
      <c r="E9" s="196">
        <f t="shared" si="1"/>
        <v>7</v>
      </c>
    </row>
    <row r="10">
      <c r="A10" s="192">
        <v>45091.0</v>
      </c>
      <c r="B10" s="200" t="s">
        <v>200</v>
      </c>
      <c r="C10" s="196"/>
      <c r="D10" s="196">
        <v>3.0</v>
      </c>
      <c r="E10" s="196">
        <f t="shared" si="1"/>
        <v>4</v>
      </c>
    </row>
    <row r="11">
      <c r="A11" s="192">
        <v>45099.0</v>
      </c>
      <c r="B11" s="200" t="s">
        <v>204</v>
      </c>
      <c r="C11" s="196">
        <v>12.0</v>
      </c>
      <c r="D11" s="196"/>
      <c r="E11" s="196">
        <f t="shared" si="1"/>
        <v>16</v>
      </c>
    </row>
    <row r="12">
      <c r="A12" s="192">
        <v>45100.0</v>
      </c>
      <c r="B12" s="195" t="s">
        <v>246</v>
      </c>
      <c r="C12" s="196"/>
      <c r="D12" s="196">
        <v>5.0</v>
      </c>
      <c r="E12" s="196">
        <f t="shared" si="1"/>
        <v>11</v>
      </c>
    </row>
    <row r="13">
      <c r="A13" s="192">
        <v>45100.0</v>
      </c>
      <c r="B13" s="203" t="s">
        <v>205</v>
      </c>
      <c r="C13" s="196"/>
      <c r="D13" s="196">
        <v>3.0</v>
      </c>
      <c r="E13" s="196">
        <f t="shared" si="1"/>
        <v>8</v>
      </c>
    </row>
    <row r="14">
      <c r="A14" s="192">
        <v>45111.0</v>
      </c>
      <c r="B14" s="203" t="s">
        <v>388</v>
      </c>
      <c r="C14" s="196"/>
      <c r="D14" s="196">
        <v>6.0</v>
      </c>
      <c r="E14" s="196">
        <f t="shared" si="1"/>
        <v>2</v>
      </c>
      <c r="F14" s="205"/>
    </row>
    <row r="15">
      <c r="A15" s="192">
        <v>45113.0</v>
      </c>
      <c r="B15" s="207" t="s">
        <v>240</v>
      </c>
      <c r="C15" s="194"/>
      <c r="D15" s="194">
        <v>2.0</v>
      </c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1.43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415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415</v>
      </c>
      <c r="C4" s="194">
        <v>24.0</v>
      </c>
      <c r="D4" s="194"/>
      <c r="E4" s="194">
        <f>C4</f>
        <v>24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21</v>
      </c>
    </row>
    <row r="6">
      <c r="A6" s="192">
        <v>45079.0</v>
      </c>
      <c r="B6" s="197" t="s">
        <v>214</v>
      </c>
      <c r="C6" s="196"/>
      <c r="D6" s="196">
        <v>6.0</v>
      </c>
      <c r="E6" s="196">
        <f t="shared" si="1"/>
        <v>15</v>
      </c>
    </row>
    <row r="7">
      <c r="A7" s="192">
        <v>45079.0</v>
      </c>
      <c r="B7" s="209" t="s">
        <v>203</v>
      </c>
      <c r="C7" s="196"/>
      <c r="D7" s="196">
        <v>12.0</v>
      </c>
      <c r="E7" s="196">
        <f t="shared" si="1"/>
        <v>3</v>
      </c>
    </row>
    <row r="8">
      <c r="A8" s="192">
        <v>45080.0</v>
      </c>
      <c r="B8" s="200" t="s">
        <v>416</v>
      </c>
      <c r="C8" s="196"/>
      <c r="D8" s="196">
        <v>3.0</v>
      </c>
      <c r="E8" s="196">
        <f t="shared" si="1"/>
        <v>0</v>
      </c>
    </row>
    <row r="9">
      <c r="A9" s="192">
        <v>45091.0</v>
      </c>
      <c r="B9" s="200" t="s">
        <v>204</v>
      </c>
      <c r="C9" s="196">
        <v>12.0</v>
      </c>
      <c r="D9" s="196"/>
      <c r="E9" s="196">
        <f t="shared" si="1"/>
        <v>12</v>
      </c>
    </row>
    <row r="10">
      <c r="A10" s="192">
        <v>45091.0</v>
      </c>
      <c r="B10" s="200" t="s">
        <v>200</v>
      </c>
      <c r="C10" s="196"/>
      <c r="D10" s="196">
        <v>1.0</v>
      </c>
      <c r="E10" s="196">
        <f t="shared" si="1"/>
        <v>11</v>
      </c>
    </row>
    <row r="11">
      <c r="A11" s="192">
        <v>45100.0</v>
      </c>
      <c r="B11" s="195" t="s">
        <v>246</v>
      </c>
      <c r="C11" s="196"/>
      <c r="D11" s="196">
        <v>3.0</v>
      </c>
      <c r="E11" s="196">
        <f t="shared" si="1"/>
        <v>8</v>
      </c>
    </row>
    <row r="12">
      <c r="A12" s="192">
        <v>45111.0</v>
      </c>
      <c r="B12" s="203" t="s">
        <v>230</v>
      </c>
      <c r="C12" s="196"/>
      <c r="D12" s="196">
        <v>8.0</v>
      </c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8.86"/>
    <col customWidth="1" min="3" max="3" width="14.14"/>
    <col customWidth="1" min="4" max="4" width="11.43"/>
    <col customWidth="1" min="5" max="5" width="14.43"/>
    <col customWidth="1" min="6" max="26" width="9.14"/>
  </cols>
  <sheetData>
    <row r="1" ht="45.75" customHeight="1">
      <c r="A1" s="211" t="s">
        <v>417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417</v>
      </c>
      <c r="C4" s="194">
        <v>24.0</v>
      </c>
      <c r="D4" s="194"/>
      <c r="E4" s="194">
        <f>C4</f>
        <v>24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21</v>
      </c>
    </row>
    <row r="6">
      <c r="A6" s="192">
        <v>45079.0</v>
      </c>
      <c r="B6" s="197" t="s">
        <v>214</v>
      </c>
      <c r="C6" s="196"/>
      <c r="D6" s="196">
        <v>6.0</v>
      </c>
      <c r="E6" s="196">
        <f t="shared" si="1"/>
        <v>15</v>
      </c>
    </row>
    <row r="7">
      <c r="A7" s="192">
        <v>45079.0</v>
      </c>
      <c r="B7" s="209" t="s">
        <v>203</v>
      </c>
      <c r="C7" s="196"/>
      <c r="D7" s="196">
        <v>12.0</v>
      </c>
      <c r="E7" s="196">
        <f t="shared" si="1"/>
        <v>3</v>
      </c>
    </row>
    <row r="8">
      <c r="A8" s="192">
        <v>45080.0</v>
      </c>
      <c r="B8" s="200" t="s">
        <v>416</v>
      </c>
      <c r="C8" s="196"/>
      <c r="D8" s="196">
        <v>3.0</v>
      </c>
      <c r="E8" s="196">
        <f t="shared" si="1"/>
        <v>0</v>
      </c>
    </row>
    <row r="9">
      <c r="A9" s="192">
        <v>45091.0</v>
      </c>
      <c r="B9" s="200" t="s">
        <v>204</v>
      </c>
      <c r="C9" s="196">
        <v>12.0</v>
      </c>
      <c r="D9" s="196"/>
      <c r="E9" s="196">
        <f t="shared" si="1"/>
        <v>12</v>
      </c>
    </row>
    <row r="10">
      <c r="A10" s="192">
        <v>45100.0</v>
      </c>
      <c r="B10" s="195" t="s">
        <v>246</v>
      </c>
      <c r="C10" s="196"/>
      <c r="D10" s="196">
        <v>3.0</v>
      </c>
      <c r="E10" s="196">
        <f t="shared" si="1"/>
        <v>9</v>
      </c>
    </row>
    <row r="11">
      <c r="A11" s="192">
        <v>45111.0</v>
      </c>
      <c r="B11" s="203" t="s">
        <v>230</v>
      </c>
      <c r="C11" s="196"/>
      <c r="D11" s="196">
        <v>4.0</v>
      </c>
      <c r="E11" s="196">
        <f t="shared" si="1"/>
        <v>5</v>
      </c>
    </row>
    <row r="12">
      <c r="A12" s="192">
        <v>45111.0</v>
      </c>
      <c r="B12" s="203" t="s">
        <v>388</v>
      </c>
      <c r="C12" s="196"/>
      <c r="D12" s="196">
        <v>5.0</v>
      </c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3.43"/>
    <col customWidth="1" min="3" max="3" width="14.14"/>
    <col customWidth="1" min="4" max="4" width="11.43"/>
    <col customWidth="1" min="5" max="5" width="14.43"/>
    <col customWidth="1" min="6" max="26" width="9.14"/>
  </cols>
  <sheetData>
    <row r="1" ht="48.75" customHeight="1">
      <c r="A1" s="211" t="s">
        <v>418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418</v>
      </c>
      <c r="C4" s="194">
        <v>24.0</v>
      </c>
      <c r="D4" s="194"/>
      <c r="E4" s="194">
        <f>C4</f>
        <v>24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21</v>
      </c>
    </row>
    <row r="6">
      <c r="A6" s="192">
        <v>45079.0</v>
      </c>
      <c r="B6" s="197" t="s">
        <v>214</v>
      </c>
      <c r="C6" s="196"/>
      <c r="D6" s="196">
        <v>6.0</v>
      </c>
      <c r="E6" s="196">
        <f t="shared" si="1"/>
        <v>15</v>
      </c>
    </row>
    <row r="7">
      <c r="A7" s="192">
        <v>45079.0</v>
      </c>
      <c r="B7" s="209" t="s">
        <v>203</v>
      </c>
      <c r="C7" s="196"/>
      <c r="D7" s="196">
        <v>12.0</v>
      </c>
      <c r="E7" s="196">
        <f t="shared" si="1"/>
        <v>3</v>
      </c>
    </row>
    <row r="8">
      <c r="A8" s="192">
        <v>45080.0</v>
      </c>
      <c r="B8" s="200" t="s">
        <v>416</v>
      </c>
      <c r="C8" s="196"/>
      <c r="D8" s="196">
        <v>3.0</v>
      </c>
      <c r="E8" s="196">
        <f t="shared" si="1"/>
        <v>0</v>
      </c>
    </row>
    <row r="9">
      <c r="A9" s="192">
        <v>45091.0</v>
      </c>
      <c r="B9" s="200" t="s">
        <v>204</v>
      </c>
      <c r="C9" s="196">
        <v>12.0</v>
      </c>
      <c r="D9" s="196"/>
      <c r="E9" s="196">
        <f t="shared" si="1"/>
        <v>12</v>
      </c>
    </row>
    <row r="10">
      <c r="A10" s="192">
        <v>45100.0</v>
      </c>
      <c r="B10" s="195" t="s">
        <v>246</v>
      </c>
      <c r="C10" s="196"/>
      <c r="D10" s="196">
        <v>3.0</v>
      </c>
      <c r="E10" s="196">
        <f t="shared" si="1"/>
        <v>9</v>
      </c>
    </row>
    <row r="11">
      <c r="A11" s="192">
        <v>45113.0</v>
      </c>
      <c r="B11" s="203" t="s">
        <v>240</v>
      </c>
      <c r="C11" s="196"/>
      <c r="D11" s="196">
        <v>9.0</v>
      </c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1.86"/>
    <col customWidth="1" min="3" max="3" width="14.14"/>
    <col customWidth="1" min="4" max="4" width="11.43"/>
    <col customWidth="1" min="5" max="5" width="14.43"/>
    <col customWidth="1" min="6" max="26" width="9.14"/>
  </cols>
  <sheetData>
    <row r="1" ht="45.0" customHeight="1">
      <c r="A1" s="211" t="s">
        <v>419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419</v>
      </c>
      <c r="C4" s="194">
        <v>24.0</v>
      </c>
      <c r="D4" s="194"/>
      <c r="E4" s="194">
        <f>C4</f>
        <v>24</v>
      </c>
    </row>
    <row r="5">
      <c r="A5" s="192">
        <v>45079.0</v>
      </c>
      <c r="B5" s="195" t="s">
        <v>205</v>
      </c>
      <c r="C5" s="196"/>
      <c r="D5" s="196">
        <v>3.0</v>
      </c>
      <c r="E5" s="196">
        <f t="shared" ref="E5:E16" si="1">E4+C5-D5</f>
        <v>21</v>
      </c>
    </row>
    <row r="6">
      <c r="A6" s="192">
        <v>45079.0</v>
      </c>
      <c r="B6" s="197" t="s">
        <v>214</v>
      </c>
      <c r="C6" s="196"/>
      <c r="D6" s="196">
        <v>6.0</v>
      </c>
      <c r="E6" s="196">
        <f t="shared" si="1"/>
        <v>15</v>
      </c>
    </row>
    <row r="7">
      <c r="A7" s="192">
        <v>45079.0</v>
      </c>
      <c r="B7" s="209" t="s">
        <v>203</v>
      </c>
      <c r="C7" s="196"/>
      <c r="D7" s="196">
        <v>12.0</v>
      </c>
      <c r="E7" s="196">
        <f t="shared" si="1"/>
        <v>3</v>
      </c>
    </row>
    <row r="8">
      <c r="A8" s="192">
        <v>45080.0</v>
      </c>
      <c r="B8" s="200" t="s">
        <v>416</v>
      </c>
      <c r="C8" s="196"/>
      <c r="D8" s="196">
        <v>3.0</v>
      </c>
      <c r="E8" s="196">
        <f t="shared" si="1"/>
        <v>0</v>
      </c>
    </row>
    <row r="9">
      <c r="A9" s="192">
        <v>45091.0</v>
      </c>
      <c r="B9" s="200" t="s">
        <v>204</v>
      </c>
      <c r="C9" s="196">
        <v>12.0</v>
      </c>
      <c r="D9" s="196"/>
      <c r="E9" s="196">
        <f t="shared" si="1"/>
        <v>12</v>
      </c>
    </row>
    <row r="10">
      <c r="A10" s="192">
        <v>45100.0</v>
      </c>
      <c r="B10" s="195" t="s">
        <v>246</v>
      </c>
      <c r="C10" s="196"/>
      <c r="D10" s="196">
        <v>3.0</v>
      </c>
      <c r="E10" s="196">
        <f t="shared" si="1"/>
        <v>9</v>
      </c>
    </row>
    <row r="11">
      <c r="A11" s="192">
        <v>45111.0</v>
      </c>
      <c r="B11" s="203" t="s">
        <v>388</v>
      </c>
      <c r="C11" s="196"/>
      <c r="D11" s="196">
        <v>7.0</v>
      </c>
      <c r="E11" s="196">
        <f t="shared" si="1"/>
        <v>2</v>
      </c>
    </row>
    <row r="12">
      <c r="A12" s="192">
        <v>45113.0</v>
      </c>
      <c r="B12" s="203" t="s">
        <v>240</v>
      </c>
      <c r="C12" s="196"/>
      <c r="D12" s="196">
        <v>2.0</v>
      </c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190" t="s">
        <v>420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 ht="15.0" customHeight="1">
      <c r="A4" s="192">
        <v>45079.0</v>
      </c>
      <c r="B4" s="193" t="s">
        <v>420</v>
      </c>
      <c r="C4" s="194">
        <v>1000.0</v>
      </c>
      <c r="D4" s="194"/>
      <c r="E4" s="194">
        <f>C4</f>
        <v>1000</v>
      </c>
    </row>
    <row r="5">
      <c r="A5" s="192">
        <v>45079.0</v>
      </c>
      <c r="B5" s="195" t="s">
        <v>214</v>
      </c>
      <c r="C5" s="196"/>
      <c r="D5" s="196">
        <v>50.0</v>
      </c>
      <c r="E5" s="196">
        <f t="shared" ref="E5:E16" si="1">E4+C5-D5</f>
        <v>950</v>
      </c>
    </row>
    <row r="6">
      <c r="A6" s="192">
        <v>45079.0</v>
      </c>
      <c r="B6" s="197" t="s">
        <v>203</v>
      </c>
      <c r="C6" s="196"/>
      <c r="D6" s="196">
        <v>500.0</v>
      </c>
      <c r="E6" s="196">
        <f t="shared" si="1"/>
        <v>450</v>
      </c>
    </row>
    <row r="7">
      <c r="A7" s="192">
        <v>45080.0</v>
      </c>
      <c r="B7" s="209" t="s">
        <v>421</v>
      </c>
      <c r="C7" s="196"/>
      <c r="D7" s="196">
        <v>60.0</v>
      </c>
      <c r="E7" s="196">
        <f t="shared" si="1"/>
        <v>390</v>
      </c>
    </row>
    <row r="8">
      <c r="A8" s="192">
        <v>45091.0</v>
      </c>
      <c r="B8" s="200" t="s">
        <v>200</v>
      </c>
      <c r="C8" s="196"/>
      <c r="D8" s="196">
        <v>20.0</v>
      </c>
      <c r="E8" s="196">
        <f t="shared" si="1"/>
        <v>370</v>
      </c>
    </row>
    <row r="9">
      <c r="A9" s="192">
        <v>45093.0</v>
      </c>
      <c r="B9" s="200" t="s">
        <v>200</v>
      </c>
      <c r="C9" s="196"/>
      <c r="D9" s="196">
        <v>10.0</v>
      </c>
      <c r="E9" s="196">
        <f t="shared" si="1"/>
        <v>360</v>
      </c>
    </row>
    <row r="10">
      <c r="A10" s="192">
        <v>45096.0</v>
      </c>
      <c r="B10" s="200" t="s">
        <v>192</v>
      </c>
      <c r="C10" s="196"/>
      <c r="D10" s="196">
        <v>35.0</v>
      </c>
      <c r="E10" s="196">
        <f t="shared" si="1"/>
        <v>325</v>
      </c>
    </row>
    <row r="11">
      <c r="A11" s="192">
        <v>45100.0</v>
      </c>
      <c r="B11" s="195" t="s">
        <v>371</v>
      </c>
      <c r="C11" s="196"/>
      <c r="D11" s="196">
        <v>5.0</v>
      </c>
      <c r="E11" s="196">
        <f t="shared" si="1"/>
        <v>320</v>
      </c>
    </row>
    <row r="12">
      <c r="A12" s="192">
        <v>45103.0</v>
      </c>
      <c r="B12" s="203" t="s">
        <v>199</v>
      </c>
      <c r="C12" s="196"/>
      <c r="D12" s="196">
        <v>100.0</v>
      </c>
      <c r="E12" s="196">
        <f t="shared" si="1"/>
        <v>220</v>
      </c>
    </row>
    <row r="13">
      <c r="A13" s="192">
        <v>45103.0</v>
      </c>
      <c r="B13" s="195" t="s">
        <v>200</v>
      </c>
      <c r="C13" s="196"/>
      <c r="D13" s="196">
        <v>15.0</v>
      </c>
      <c r="E13" s="196">
        <f t="shared" si="1"/>
        <v>205</v>
      </c>
    </row>
    <row r="14">
      <c r="A14" s="192">
        <v>45111.0</v>
      </c>
      <c r="B14" s="203" t="s">
        <v>230</v>
      </c>
      <c r="C14" s="196"/>
      <c r="D14" s="196">
        <v>25.0</v>
      </c>
      <c r="E14" s="196">
        <f t="shared" si="1"/>
        <v>180</v>
      </c>
      <c r="F14" s="205"/>
    </row>
    <row r="15">
      <c r="A15" s="192">
        <v>45122.0</v>
      </c>
      <c r="B15" s="207" t="s">
        <v>200</v>
      </c>
      <c r="C15" s="194"/>
      <c r="D15" s="194">
        <v>30.0</v>
      </c>
      <c r="E15" s="194">
        <f t="shared" si="1"/>
        <v>150</v>
      </c>
    </row>
    <row r="16">
      <c r="A16" s="206"/>
      <c r="B16" s="208"/>
      <c r="C16" s="194"/>
      <c r="D16" s="213">
        <v>150.0</v>
      </c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 ht="45.0" customHeight="1">
      <c r="A1" s="211" t="s">
        <v>422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45091.0</v>
      </c>
      <c r="B4" s="193" t="s">
        <v>422</v>
      </c>
      <c r="C4" s="194">
        <v>600.0</v>
      </c>
      <c r="D4" s="194"/>
      <c r="E4" s="194">
        <f>C4</f>
        <v>600</v>
      </c>
    </row>
    <row r="5">
      <c r="A5" s="192">
        <v>45091.0</v>
      </c>
      <c r="B5" s="195" t="s">
        <v>200</v>
      </c>
      <c r="C5" s="196"/>
      <c r="D5" s="196">
        <v>12.0</v>
      </c>
      <c r="E5" s="196">
        <f t="shared" ref="E5:E16" si="1">E4+C5-D5</f>
        <v>588</v>
      </c>
    </row>
    <row r="6">
      <c r="A6" s="192">
        <v>45100.0</v>
      </c>
      <c r="B6" s="197" t="s">
        <v>205</v>
      </c>
      <c r="C6" s="196"/>
      <c r="D6" s="196">
        <v>60.0</v>
      </c>
      <c r="E6" s="196">
        <f t="shared" si="1"/>
        <v>528</v>
      </c>
    </row>
    <row r="7">
      <c r="A7" s="192">
        <v>45101.0</v>
      </c>
      <c r="B7" s="209" t="s">
        <v>201</v>
      </c>
      <c r="C7" s="196"/>
      <c r="D7" s="196">
        <v>60.0</v>
      </c>
      <c r="E7" s="196">
        <f t="shared" si="1"/>
        <v>468</v>
      </c>
    </row>
    <row r="8">
      <c r="A8" s="192">
        <v>45103.0</v>
      </c>
      <c r="B8" s="200" t="s">
        <v>200</v>
      </c>
      <c r="C8" s="196"/>
      <c r="D8" s="196">
        <v>36.0</v>
      </c>
      <c r="E8" s="196">
        <f t="shared" si="1"/>
        <v>432</v>
      </c>
    </row>
    <row r="9">
      <c r="A9" s="192">
        <v>45111.0</v>
      </c>
      <c r="B9" s="200" t="s">
        <v>230</v>
      </c>
      <c r="C9" s="196"/>
      <c r="D9" s="196">
        <v>120.0</v>
      </c>
      <c r="E9" s="196">
        <f t="shared" si="1"/>
        <v>312</v>
      </c>
    </row>
    <row r="10">
      <c r="A10" s="192">
        <v>45113.0</v>
      </c>
      <c r="B10" s="200" t="s">
        <v>246</v>
      </c>
      <c r="C10" s="196"/>
      <c r="D10" s="196">
        <v>120.0</v>
      </c>
      <c r="E10" s="196">
        <f t="shared" si="1"/>
        <v>192</v>
      </c>
    </row>
    <row r="11">
      <c r="A11" s="192">
        <v>45125.0</v>
      </c>
      <c r="B11" s="214" t="s">
        <v>256</v>
      </c>
      <c r="C11" s="196"/>
      <c r="D11" s="196">
        <v>36.0</v>
      </c>
      <c r="E11" s="196">
        <f t="shared" si="1"/>
        <v>156</v>
      </c>
    </row>
    <row r="12">
      <c r="A12" s="192">
        <v>45134.0</v>
      </c>
      <c r="B12" s="214" t="s">
        <v>256</v>
      </c>
      <c r="C12" s="196"/>
      <c r="D12" s="196">
        <v>12.0</v>
      </c>
      <c r="E12" s="196">
        <f t="shared" si="1"/>
        <v>144</v>
      </c>
    </row>
    <row r="13">
      <c r="A13" s="199"/>
      <c r="B13" s="195"/>
      <c r="C13" s="196"/>
      <c r="D13" s="202">
        <v>144.0</v>
      </c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423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423</v>
      </c>
      <c r="C4" s="194">
        <v>2400.0</v>
      </c>
      <c r="D4" s="194"/>
      <c r="E4" s="194">
        <f>C4</f>
        <v>2400</v>
      </c>
    </row>
    <row r="5">
      <c r="A5" s="192">
        <v>45079.0</v>
      </c>
      <c r="B5" s="195" t="s">
        <v>214</v>
      </c>
      <c r="C5" s="196"/>
      <c r="D5" s="196">
        <v>120.0</v>
      </c>
      <c r="E5" s="196">
        <f t="shared" ref="E5:E17" si="1">E4+C5-D5</f>
        <v>2280</v>
      </c>
    </row>
    <row r="6">
      <c r="A6" s="192">
        <v>45079.0</v>
      </c>
      <c r="B6" s="197" t="s">
        <v>203</v>
      </c>
      <c r="C6" s="196"/>
      <c r="D6" s="196">
        <v>1200.0</v>
      </c>
      <c r="E6" s="196">
        <f t="shared" si="1"/>
        <v>1080</v>
      </c>
    </row>
    <row r="7">
      <c r="A7" s="192">
        <v>45080.0</v>
      </c>
      <c r="B7" s="209" t="s">
        <v>194</v>
      </c>
      <c r="C7" s="196"/>
      <c r="D7" s="196">
        <v>12.0</v>
      </c>
      <c r="E7" s="196">
        <f t="shared" si="1"/>
        <v>1068</v>
      </c>
    </row>
    <row r="8">
      <c r="A8" s="192">
        <v>45082.0</v>
      </c>
      <c r="B8" s="200" t="s">
        <v>197</v>
      </c>
      <c r="C8" s="196"/>
      <c r="D8" s="196">
        <v>60.0</v>
      </c>
      <c r="E8" s="196">
        <f t="shared" si="1"/>
        <v>1008</v>
      </c>
    </row>
    <row r="9">
      <c r="A9" s="192">
        <v>45086.0</v>
      </c>
      <c r="B9" s="200" t="s">
        <v>192</v>
      </c>
      <c r="C9" s="196"/>
      <c r="D9" s="196">
        <v>24.0</v>
      </c>
      <c r="E9" s="196">
        <f t="shared" si="1"/>
        <v>984</v>
      </c>
    </row>
    <row r="10">
      <c r="A10" s="192">
        <v>45093.0</v>
      </c>
      <c r="B10" s="200" t="s">
        <v>219</v>
      </c>
      <c r="C10" s="196"/>
      <c r="D10" s="196">
        <v>12.0</v>
      </c>
      <c r="E10" s="196">
        <f t="shared" si="1"/>
        <v>972</v>
      </c>
    </row>
    <row r="11">
      <c r="A11" s="192">
        <v>45103.0</v>
      </c>
      <c r="B11" s="200" t="s">
        <v>199</v>
      </c>
      <c r="C11" s="196"/>
      <c r="D11" s="196">
        <v>240.0</v>
      </c>
      <c r="E11" s="196">
        <f t="shared" si="1"/>
        <v>732</v>
      </c>
    </row>
    <row r="12">
      <c r="A12" s="199"/>
      <c r="B12" s="195"/>
      <c r="C12" s="196"/>
      <c r="D12" s="202">
        <v>732.0</v>
      </c>
      <c r="E12" s="196">
        <f t="shared" si="1"/>
        <v>0</v>
      </c>
    </row>
    <row r="13">
      <c r="A13" s="199"/>
      <c r="B13" s="203"/>
      <c r="C13" s="196"/>
      <c r="D13" s="196"/>
      <c r="E13" s="196">
        <f t="shared" si="1"/>
        <v>0</v>
      </c>
    </row>
    <row r="14">
      <c r="A14" s="199"/>
      <c r="B14" s="195"/>
      <c r="C14" s="196"/>
      <c r="D14" s="196"/>
      <c r="E14" s="196">
        <f t="shared" si="1"/>
        <v>0</v>
      </c>
    </row>
    <row r="15">
      <c r="A15" s="204"/>
      <c r="B15" s="203"/>
      <c r="C15" s="196"/>
      <c r="D15" s="196"/>
      <c r="E15" s="196">
        <f t="shared" si="1"/>
        <v>0</v>
      </c>
      <c r="F15" s="205"/>
    </row>
    <row r="16">
      <c r="A16" s="206"/>
      <c r="B16" s="207"/>
      <c r="C16" s="194"/>
      <c r="D16" s="194"/>
      <c r="E16" s="194">
        <f t="shared" si="1"/>
        <v>0</v>
      </c>
    </row>
    <row r="17">
      <c r="A17" s="206"/>
      <c r="B17" s="208"/>
      <c r="C17" s="194"/>
      <c r="D17" s="194"/>
      <c r="E17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424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45079.0</v>
      </c>
      <c r="B4" s="193" t="s">
        <v>424</v>
      </c>
      <c r="C4" s="194">
        <v>2400.0</v>
      </c>
      <c r="D4" s="194"/>
      <c r="E4" s="194">
        <f>C4</f>
        <v>2400</v>
      </c>
    </row>
    <row r="5">
      <c r="A5" s="192">
        <v>45079.0</v>
      </c>
      <c r="B5" s="195" t="s">
        <v>214</v>
      </c>
      <c r="C5" s="196"/>
      <c r="D5" s="196">
        <v>240.0</v>
      </c>
      <c r="E5" s="196">
        <f t="shared" ref="E5:E16" si="1">E4+C5-D5</f>
        <v>2160</v>
      </c>
    </row>
    <row r="6">
      <c r="A6" s="192">
        <v>45079.0</v>
      </c>
      <c r="B6" s="197" t="s">
        <v>203</v>
      </c>
      <c r="C6" s="196"/>
      <c r="D6" s="196">
        <v>1200.0</v>
      </c>
      <c r="E6" s="196">
        <f t="shared" si="1"/>
        <v>960</v>
      </c>
    </row>
    <row r="7">
      <c r="A7" s="192">
        <v>45080.0</v>
      </c>
      <c r="B7" s="209" t="s">
        <v>325</v>
      </c>
      <c r="C7" s="196"/>
      <c r="D7" s="196">
        <v>60.0</v>
      </c>
      <c r="E7" s="196">
        <f t="shared" si="1"/>
        <v>900</v>
      </c>
    </row>
    <row r="8">
      <c r="A8" s="192">
        <v>45082.0</v>
      </c>
      <c r="B8" s="200" t="s">
        <v>197</v>
      </c>
      <c r="C8" s="196"/>
      <c r="D8" s="196">
        <v>60.0</v>
      </c>
      <c r="E8" s="196">
        <f t="shared" si="1"/>
        <v>840</v>
      </c>
    </row>
    <row r="9">
      <c r="A9" s="192">
        <v>45093.0</v>
      </c>
      <c r="B9" s="200" t="s">
        <v>219</v>
      </c>
      <c r="C9" s="196"/>
      <c r="D9" s="196">
        <v>12.0</v>
      </c>
      <c r="E9" s="196">
        <f t="shared" si="1"/>
        <v>828</v>
      </c>
    </row>
    <row r="10">
      <c r="A10" s="192">
        <v>45103.0</v>
      </c>
      <c r="B10" s="200" t="s">
        <v>199</v>
      </c>
      <c r="C10" s="196"/>
      <c r="D10" s="196">
        <v>240.0</v>
      </c>
      <c r="E10" s="196">
        <f t="shared" si="1"/>
        <v>588</v>
      </c>
    </row>
    <row r="11">
      <c r="A11" s="192">
        <v>45103.0</v>
      </c>
      <c r="B11" s="200" t="s">
        <v>219</v>
      </c>
      <c r="C11" s="196"/>
      <c r="D11" s="196">
        <v>36.0</v>
      </c>
      <c r="E11" s="196">
        <f t="shared" si="1"/>
        <v>552</v>
      </c>
    </row>
    <row r="12">
      <c r="A12" s="192">
        <v>45113.0</v>
      </c>
      <c r="B12" s="203" t="s">
        <v>246</v>
      </c>
      <c r="C12" s="196"/>
      <c r="D12" s="196">
        <v>120.0</v>
      </c>
      <c r="E12" s="196">
        <f t="shared" si="1"/>
        <v>432</v>
      </c>
    </row>
    <row r="13">
      <c r="A13" s="192">
        <v>45125.0</v>
      </c>
      <c r="B13" s="214" t="s">
        <v>256</v>
      </c>
      <c r="C13" s="196"/>
      <c r="D13" s="196">
        <v>36.0</v>
      </c>
      <c r="E13" s="196">
        <f t="shared" si="1"/>
        <v>396</v>
      </c>
    </row>
    <row r="14">
      <c r="A14" s="192">
        <v>45127.0</v>
      </c>
      <c r="B14" s="203" t="s">
        <v>213</v>
      </c>
      <c r="C14" s="196"/>
      <c r="D14" s="196">
        <v>72.0</v>
      </c>
      <c r="E14" s="196">
        <f t="shared" si="1"/>
        <v>324</v>
      </c>
      <c r="F14" s="205"/>
    </row>
    <row r="15">
      <c r="A15" s="192">
        <v>45134.0</v>
      </c>
      <c r="B15" s="214" t="s">
        <v>256</v>
      </c>
      <c r="C15" s="194"/>
      <c r="D15" s="194">
        <v>12.0</v>
      </c>
      <c r="E15" s="194">
        <f t="shared" si="1"/>
        <v>312</v>
      </c>
    </row>
    <row r="16">
      <c r="A16" s="206"/>
      <c r="B16" s="208"/>
      <c r="C16" s="194"/>
      <c r="D16" s="213">
        <v>312.0</v>
      </c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425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45085.0</v>
      </c>
      <c r="B4" s="193" t="s">
        <v>425</v>
      </c>
      <c r="C4" s="194">
        <v>144.0</v>
      </c>
      <c r="D4" s="194"/>
      <c r="E4" s="194">
        <f>C4</f>
        <v>144</v>
      </c>
    </row>
    <row r="5">
      <c r="A5" s="192">
        <v>45085.0</v>
      </c>
      <c r="B5" s="195" t="s">
        <v>426</v>
      </c>
      <c r="C5" s="196"/>
      <c r="D5" s="196">
        <v>72.0</v>
      </c>
      <c r="E5" s="196">
        <f t="shared" ref="E5:E16" si="1">E4+C5-D5</f>
        <v>72</v>
      </c>
    </row>
    <row r="6">
      <c r="A6" s="192">
        <v>45103.0</v>
      </c>
      <c r="B6" s="197" t="s">
        <v>200</v>
      </c>
      <c r="C6" s="196"/>
      <c r="D6" s="196">
        <v>6.0</v>
      </c>
      <c r="E6" s="196">
        <f t="shared" si="1"/>
        <v>66</v>
      </c>
    </row>
    <row r="7">
      <c r="A7" s="192">
        <v>45140.0</v>
      </c>
      <c r="B7" s="209" t="s">
        <v>336</v>
      </c>
      <c r="C7" s="196"/>
      <c r="D7" s="196">
        <v>66.0</v>
      </c>
      <c r="E7" s="196">
        <f t="shared" si="1"/>
        <v>0</v>
      </c>
    </row>
    <row r="8">
      <c r="A8" s="192"/>
      <c r="B8" s="200"/>
      <c r="C8" s="196"/>
      <c r="D8" s="196"/>
      <c r="E8" s="196">
        <f t="shared" si="1"/>
        <v>0</v>
      </c>
    </row>
    <row r="9">
      <c r="A9" s="192"/>
      <c r="B9" s="200"/>
      <c r="C9" s="196"/>
      <c r="D9" s="196"/>
      <c r="E9" s="196">
        <f t="shared" si="1"/>
        <v>0</v>
      </c>
    </row>
    <row r="10">
      <c r="A10" s="192"/>
      <c r="B10" s="200"/>
      <c r="C10" s="196"/>
      <c r="D10" s="196"/>
      <c r="E10" s="196">
        <f t="shared" si="1"/>
        <v>0</v>
      </c>
    </row>
    <row r="11">
      <c r="A11" s="192"/>
      <c r="B11" s="195"/>
      <c r="C11" s="196"/>
      <c r="D11" s="196"/>
      <c r="E11" s="196">
        <f t="shared" si="1"/>
        <v>0</v>
      </c>
    </row>
    <row r="12">
      <c r="A12" s="192"/>
      <c r="B12" s="203"/>
      <c r="C12" s="196"/>
      <c r="D12" s="196"/>
      <c r="E12" s="196">
        <f t="shared" si="1"/>
        <v>0</v>
      </c>
    </row>
    <row r="13">
      <c r="A13" s="192"/>
      <c r="B13" s="195"/>
      <c r="C13" s="196"/>
      <c r="D13" s="196"/>
      <c r="E13" s="196">
        <f t="shared" si="1"/>
        <v>0</v>
      </c>
    </row>
    <row r="14">
      <c r="A14" s="192"/>
      <c r="B14" s="203"/>
      <c r="C14" s="196"/>
      <c r="D14" s="196"/>
      <c r="E14" s="196">
        <f t="shared" si="1"/>
        <v>0</v>
      </c>
      <c r="F14" s="205"/>
    </row>
    <row r="15">
      <c r="A15" s="192"/>
      <c r="B15" s="207"/>
      <c r="C15" s="194"/>
      <c r="D15" s="194"/>
      <c r="E15" s="194">
        <f t="shared" si="1"/>
        <v>0</v>
      </c>
    </row>
    <row r="16">
      <c r="A16" s="192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427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45086.0</v>
      </c>
      <c r="B4" s="193" t="s">
        <v>427</v>
      </c>
      <c r="C4" s="194">
        <v>1152.0</v>
      </c>
      <c r="D4" s="194"/>
      <c r="E4" s="194">
        <f>C4</f>
        <v>1152</v>
      </c>
    </row>
    <row r="5">
      <c r="A5" s="192">
        <v>45086.0</v>
      </c>
      <c r="B5" s="195" t="s">
        <v>192</v>
      </c>
      <c r="C5" s="196"/>
      <c r="D5" s="196">
        <v>12.0</v>
      </c>
      <c r="E5" s="196">
        <f t="shared" ref="E5:E16" si="1">E4+C5-D5</f>
        <v>1140</v>
      </c>
    </row>
    <row r="6">
      <c r="A6" s="192">
        <v>45093.0</v>
      </c>
      <c r="B6" s="197" t="s">
        <v>200</v>
      </c>
      <c r="C6" s="196"/>
      <c r="D6" s="196">
        <v>12.0</v>
      </c>
      <c r="E6" s="196">
        <f t="shared" si="1"/>
        <v>1128</v>
      </c>
    </row>
    <row r="7">
      <c r="A7" s="192">
        <v>45100.0</v>
      </c>
      <c r="B7" s="209" t="s">
        <v>246</v>
      </c>
      <c r="C7" s="196"/>
      <c r="D7" s="196">
        <v>60.0</v>
      </c>
      <c r="E7" s="196">
        <f t="shared" si="1"/>
        <v>1068</v>
      </c>
    </row>
    <row r="8">
      <c r="A8" s="192">
        <v>45103.0</v>
      </c>
      <c r="B8" s="200" t="s">
        <v>199</v>
      </c>
      <c r="C8" s="196"/>
      <c r="D8" s="196">
        <v>120.0</v>
      </c>
      <c r="E8" s="196">
        <f t="shared" si="1"/>
        <v>948</v>
      </c>
    </row>
    <row r="9">
      <c r="A9" s="201"/>
      <c r="B9" s="200"/>
      <c r="C9" s="196"/>
      <c r="D9" s="202">
        <v>948.0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428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45086.0</v>
      </c>
      <c r="B4" s="193" t="s">
        <v>428</v>
      </c>
      <c r="C4" s="194">
        <v>1152.0</v>
      </c>
      <c r="D4" s="194"/>
      <c r="E4" s="194">
        <f>C4</f>
        <v>1152</v>
      </c>
    </row>
    <row r="5">
      <c r="A5" s="192">
        <v>45086.0</v>
      </c>
      <c r="B5" s="195" t="s">
        <v>192</v>
      </c>
      <c r="C5" s="196"/>
      <c r="D5" s="196">
        <v>12.0</v>
      </c>
      <c r="E5" s="196">
        <f t="shared" ref="E5:E16" si="1">E4+C5-D5</f>
        <v>1140</v>
      </c>
    </row>
    <row r="6">
      <c r="A6" s="192">
        <v>45093.0</v>
      </c>
      <c r="B6" s="197" t="s">
        <v>200</v>
      </c>
      <c r="C6" s="196"/>
      <c r="D6" s="196">
        <v>12.0</v>
      </c>
      <c r="E6" s="196">
        <f t="shared" si="1"/>
        <v>1128</v>
      </c>
    </row>
    <row r="7">
      <c r="A7" s="192">
        <v>45100.0</v>
      </c>
      <c r="B7" s="209" t="s">
        <v>246</v>
      </c>
      <c r="C7" s="196"/>
      <c r="D7" s="196">
        <v>60.0</v>
      </c>
      <c r="E7" s="196">
        <f t="shared" si="1"/>
        <v>1068</v>
      </c>
    </row>
    <row r="8">
      <c r="A8" s="192">
        <v>45103.0</v>
      </c>
      <c r="B8" s="200" t="s">
        <v>199</v>
      </c>
      <c r="C8" s="196"/>
      <c r="D8" s="196">
        <v>120.0</v>
      </c>
      <c r="E8" s="196">
        <f t="shared" si="1"/>
        <v>948</v>
      </c>
    </row>
    <row r="9">
      <c r="A9" s="201"/>
      <c r="B9" s="200"/>
      <c r="C9" s="196"/>
      <c r="D9" s="202">
        <v>948.0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429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2"/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45086.0</v>
      </c>
      <c r="B4" s="193" t="s">
        <v>429</v>
      </c>
      <c r="C4" s="194">
        <v>1152.0</v>
      </c>
      <c r="D4" s="194"/>
      <c r="E4" s="194">
        <f>C4</f>
        <v>1152</v>
      </c>
    </row>
    <row r="5">
      <c r="A5" s="192">
        <v>45086.0</v>
      </c>
      <c r="B5" s="195" t="s">
        <v>192</v>
      </c>
      <c r="C5" s="196"/>
      <c r="D5" s="196">
        <v>12.0</v>
      </c>
      <c r="E5" s="196">
        <f t="shared" ref="E5:E16" si="1">E4+C5-D5</f>
        <v>1140</v>
      </c>
    </row>
    <row r="6">
      <c r="A6" s="192">
        <v>45093.0</v>
      </c>
      <c r="B6" s="197" t="s">
        <v>200</v>
      </c>
      <c r="C6" s="196"/>
      <c r="D6" s="196">
        <v>12.0</v>
      </c>
      <c r="E6" s="196">
        <f t="shared" si="1"/>
        <v>1128</v>
      </c>
    </row>
    <row r="7">
      <c r="A7" s="192">
        <v>45100.0</v>
      </c>
      <c r="B7" s="209" t="s">
        <v>246</v>
      </c>
      <c r="C7" s="196"/>
      <c r="D7" s="196">
        <v>60.0</v>
      </c>
      <c r="E7" s="196">
        <f t="shared" si="1"/>
        <v>1068</v>
      </c>
    </row>
    <row r="8">
      <c r="A8" s="192">
        <v>45103.0</v>
      </c>
      <c r="B8" s="200" t="s">
        <v>199</v>
      </c>
      <c r="C8" s="196"/>
      <c r="D8" s="196">
        <v>120.0</v>
      </c>
      <c r="E8" s="196">
        <f t="shared" si="1"/>
        <v>948</v>
      </c>
    </row>
    <row r="9">
      <c r="A9" s="201"/>
      <c r="B9" s="200"/>
      <c r="C9" s="196"/>
      <c r="D9" s="202">
        <v>948.0</v>
      </c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430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45086.0</v>
      </c>
      <c r="B4" s="193" t="s">
        <v>430</v>
      </c>
      <c r="C4" s="194">
        <v>864.0</v>
      </c>
      <c r="D4" s="194"/>
      <c r="E4" s="194">
        <f>C4</f>
        <v>864</v>
      </c>
    </row>
    <row r="5">
      <c r="A5" s="192">
        <v>45086.0</v>
      </c>
      <c r="B5" s="195" t="s">
        <v>192</v>
      </c>
      <c r="C5" s="196"/>
      <c r="D5" s="196">
        <v>12.0</v>
      </c>
      <c r="E5" s="196">
        <f t="shared" ref="E5:E16" si="1">E4+C5-D5</f>
        <v>852</v>
      </c>
    </row>
    <row r="6">
      <c r="A6" s="192">
        <v>45093.0</v>
      </c>
      <c r="B6" s="197" t="s">
        <v>200</v>
      </c>
      <c r="C6" s="196"/>
      <c r="D6" s="196">
        <v>12.0</v>
      </c>
      <c r="E6" s="196">
        <f t="shared" si="1"/>
        <v>840</v>
      </c>
    </row>
    <row r="7">
      <c r="A7" s="192">
        <v>45100.0</v>
      </c>
      <c r="B7" s="209" t="s">
        <v>246</v>
      </c>
      <c r="C7" s="196"/>
      <c r="D7" s="196">
        <v>60.0</v>
      </c>
      <c r="E7" s="196">
        <f t="shared" si="1"/>
        <v>780</v>
      </c>
    </row>
    <row r="8">
      <c r="A8" s="192">
        <v>45103.0</v>
      </c>
      <c r="B8" s="200" t="s">
        <v>199</v>
      </c>
      <c r="C8" s="196"/>
      <c r="D8" s="196">
        <v>120.0</v>
      </c>
      <c r="E8" s="196">
        <f t="shared" si="1"/>
        <v>660</v>
      </c>
    </row>
    <row r="9">
      <c r="A9" s="192">
        <v>45125.0</v>
      </c>
      <c r="B9" s="214" t="s">
        <v>256</v>
      </c>
      <c r="C9" s="196"/>
      <c r="D9" s="196">
        <v>24.0</v>
      </c>
      <c r="E9" s="196">
        <f t="shared" si="1"/>
        <v>636</v>
      </c>
    </row>
    <row r="10">
      <c r="A10" s="192">
        <v>45127.0</v>
      </c>
      <c r="B10" s="200" t="s">
        <v>213</v>
      </c>
      <c r="C10" s="196"/>
      <c r="D10" s="196">
        <v>24.0</v>
      </c>
      <c r="E10" s="196">
        <f t="shared" si="1"/>
        <v>612</v>
      </c>
    </row>
    <row r="11">
      <c r="A11" s="192">
        <v>45134.0</v>
      </c>
      <c r="B11" s="214" t="s">
        <v>256</v>
      </c>
      <c r="C11" s="196"/>
      <c r="D11" s="196">
        <v>12.0</v>
      </c>
      <c r="E11" s="196">
        <f t="shared" si="1"/>
        <v>600</v>
      </c>
    </row>
    <row r="12">
      <c r="A12" s="199"/>
      <c r="B12" s="203"/>
      <c r="C12" s="196"/>
      <c r="D12" s="202">
        <v>600.0</v>
      </c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5.71"/>
    <col customWidth="1" min="3" max="3" width="14.14"/>
    <col customWidth="1" min="4" max="4" width="11.43"/>
    <col customWidth="1" min="5" max="5" width="14.43"/>
    <col customWidth="1" min="6" max="26" width="9.14"/>
  </cols>
  <sheetData>
    <row r="1">
      <c r="A1" s="211" t="s">
        <v>431</v>
      </c>
      <c r="B1" s="4"/>
      <c r="C1" s="4"/>
      <c r="D1" s="4"/>
      <c r="E1" s="7"/>
    </row>
    <row r="2">
      <c r="A2" s="8"/>
      <c r="B2" s="9"/>
      <c r="C2" s="9"/>
      <c r="D2" s="9"/>
      <c r="E2" s="14"/>
    </row>
    <row r="3">
      <c r="A3" s="191" t="s">
        <v>8</v>
      </c>
      <c r="B3" s="191" t="s">
        <v>386</v>
      </c>
      <c r="C3" s="191" t="s">
        <v>190</v>
      </c>
      <c r="D3" s="191" t="s">
        <v>191</v>
      </c>
      <c r="E3" s="191" t="s">
        <v>16</v>
      </c>
    </row>
    <row r="4">
      <c r="A4" s="192">
        <v>45091.0</v>
      </c>
      <c r="B4" s="193" t="s">
        <v>431</v>
      </c>
      <c r="C4" s="194">
        <v>48.0</v>
      </c>
      <c r="D4" s="194"/>
      <c r="E4" s="194">
        <f>C4</f>
        <v>48</v>
      </c>
    </row>
    <row r="5">
      <c r="A5" s="192">
        <v>45091.0</v>
      </c>
      <c r="B5" s="195" t="s">
        <v>200</v>
      </c>
      <c r="C5" s="196"/>
      <c r="D5" s="196">
        <v>3.0</v>
      </c>
      <c r="E5" s="196">
        <f t="shared" ref="E5:E16" si="1">E4+C5-D5</f>
        <v>45</v>
      </c>
    </row>
    <row r="6">
      <c r="A6" s="192"/>
      <c r="B6" s="197"/>
      <c r="C6" s="196"/>
      <c r="D6" s="202">
        <v>45.0</v>
      </c>
      <c r="E6" s="196">
        <f t="shared" si="1"/>
        <v>0</v>
      </c>
    </row>
    <row r="7">
      <c r="A7" s="192"/>
      <c r="B7" s="209"/>
      <c r="C7" s="196"/>
      <c r="D7" s="196"/>
      <c r="E7" s="196">
        <f t="shared" si="1"/>
        <v>0</v>
      </c>
    </row>
    <row r="8">
      <c r="A8" s="192"/>
      <c r="B8" s="200"/>
      <c r="C8" s="196"/>
      <c r="D8" s="196"/>
      <c r="E8" s="196">
        <f t="shared" si="1"/>
        <v>0</v>
      </c>
    </row>
    <row r="9">
      <c r="A9" s="201"/>
      <c r="B9" s="200"/>
      <c r="C9" s="196"/>
      <c r="D9" s="196"/>
      <c r="E9" s="196">
        <f t="shared" si="1"/>
        <v>0</v>
      </c>
    </row>
    <row r="10">
      <c r="A10" s="199"/>
      <c r="B10" s="200"/>
      <c r="C10" s="196"/>
      <c r="D10" s="196"/>
      <c r="E10" s="196">
        <f t="shared" si="1"/>
        <v>0</v>
      </c>
    </row>
    <row r="11">
      <c r="A11" s="199"/>
      <c r="B11" s="195"/>
      <c r="C11" s="196"/>
      <c r="D11" s="196"/>
      <c r="E11" s="196">
        <f t="shared" si="1"/>
        <v>0</v>
      </c>
    </row>
    <row r="12">
      <c r="A12" s="199"/>
      <c r="B12" s="203"/>
      <c r="C12" s="196"/>
      <c r="D12" s="196"/>
      <c r="E12" s="196">
        <f t="shared" si="1"/>
        <v>0</v>
      </c>
    </row>
    <row r="13">
      <c r="A13" s="199"/>
      <c r="B13" s="195"/>
      <c r="C13" s="196"/>
      <c r="D13" s="196"/>
      <c r="E13" s="196">
        <f t="shared" si="1"/>
        <v>0</v>
      </c>
    </row>
    <row r="14">
      <c r="A14" s="204"/>
      <c r="B14" s="203"/>
      <c r="C14" s="196"/>
      <c r="D14" s="196"/>
      <c r="E14" s="196">
        <f t="shared" si="1"/>
        <v>0</v>
      </c>
      <c r="F14" s="205"/>
    </row>
    <row r="15">
      <c r="A15" s="206"/>
      <c r="B15" s="207"/>
      <c r="C15" s="194"/>
      <c r="D15" s="194"/>
      <c r="E15" s="194">
        <f t="shared" si="1"/>
        <v>0</v>
      </c>
    </row>
    <row r="16">
      <c r="A16" s="206"/>
      <c r="B16" s="208"/>
      <c r="C16" s="194"/>
      <c r="D16" s="194"/>
      <c r="E16" s="19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